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In-Progress\"/>
    </mc:Choice>
  </mc:AlternateContent>
  <xr:revisionPtr revIDLastSave="0" documentId="13_ncr:1_{6422C9D5-BDDD-4CE3-978D-B95B993F5264}" xr6:coauthVersionLast="47" xr6:coauthVersionMax="47" xr10:uidLastSave="{00000000-0000-0000-0000-000000000000}"/>
  <bookViews>
    <workbookView showSheetTabs="0" xWindow="4125" yWindow="6420" windowWidth="17265" windowHeight="9780" tabRatio="54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9" i="13"/>
  <c r="M15" i="13"/>
  <c r="P305" i="13"/>
  <c r="P346" i="13"/>
  <c r="P342" i="13"/>
  <c r="P358" i="13"/>
  <c r="N181" i="13"/>
  <c r="O163" i="13"/>
  <c r="N183" i="13"/>
  <c r="N51" i="13"/>
  <c r="M136" i="13"/>
  <c r="P196" i="13" l="1"/>
  <c r="P249" i="13"/>
  <c r="P253" i="13"/>
  <c r="P264" i="13"/>
  <c r="P297" i="13"/>
  <c r="P301" i="13"/>
  <c r="P309" i="13"/>
  <c r="P313" i="13"/>
  <c r="P325" i="13"/>
  <c r="P333" i="13"/>
  <c r="P341" i="13"/>
  <c r="P345" i="13"/>
  <c r="P349" i="13"/>
  <c r="P353" i="13"/>
  <c r="P357" i="13"/>
  <c r="N144" i="13"/>
  <c r="M187" i="13"/>
  <c r="P252" i="13"/>
  <c r="P260" i="13"/>
  <c r="P280" i="13"/>
  <c r="P292" i="13"/>
  <c r="P308" i="13"/>
  <c r="P336" i="13"/>
  <c r="P340" i="13"/>
  <c r="P344" i="13"/>
  <c r="M170" i="13"/>
  <c r="N177" i="13"/>
  <c r="M147" i="13"/>
  <c r="P123" i="13"/>
  <c r="O192" i="13"/>
  <c r="M177" i="13"/>
  <c r="M192" i="13"/>
  <c r="P338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3" i="13"/>
  <c r="P255" i="13"/>
  <c r="P258" i="13"/>
  <c r="P262" i="13"/>
  <c r="P266" i="13"/>
  <c r="P271" i="13"/>
  <c r="P275" i="13"/>
  <c r="P279" i="13"/>
  <c r="P283" i="13"/>
  <c r="P287" i="13"/>
  <c r="P302" i="13"/>
  <c r="P307" i="13"/>
  <c r="P318" i="13"/>
  <c r="P319" i="13"/>
  <c r="P322" i="13"/>
  <c r="P326" i="13"/>
  <c r="P327" i="13"/>
  <c r="P331" i="13"/>
  <c r="P334" i="13"/>
  <c r="P335" i="13"/>
  <c r="P339" i="13"/>
  <c r="P351" i="13"/>
  <c r="P359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4" i="13"/>
  <c r="N179" i="13"/>
  <c r="N188" i="13"/>
  <c r="P261" i="13"/>
  <c r="M185" i="13"/>
  <c r="N168" i="13"/>
  <c r="P168" i="13" s="1"/>
  <c r="P316" i="13"/>
  <c r="P270" i="13"/>
  <c r="O179" i="13"/>
  <c r="P208" i="13"/>
  <c r="P311" i="13"/>
  <c r="P315" i="13"/>
  <c r="P286" i="13"/>
  <c r="M183" i="13"/>
  <c r="P183" i="13" s="1"/>
  <c r="P50" i="13"/>
  <c r="N185" i="13"/>
  <c r="P355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4" i="13"/>
  <c r="P7" i="13"/>
  <c r="P94" i="13"/>
  <c r="P237" i="13"/>
  <c r="P290" i="13"/>
  <c r="P21" i="13"/>
  <c r="P265" i="13"/>
  <c r="P269" i="13"/>
  <c r="P289" i="13"/>
  <c r="P96" i="13"/>
  <c r="P143" i="13"/>
  <c r="P215" i="13"/>
  <c r="P256" i="13"/>
  <c r="P95" i="13"/>
  <c r="P127" i="13"/>
  <c r="P300" i="13"/>
  <c r="P304" i="13"/>
  <c r="P312" i="13"/>
  <c r="P317" i="13"/>
  <c r="P320" i="13"/>
  <c r="P321" i="13"/>
  <c r="P324" i="13"/>
  <c r="P328" i="13"/>
  <c r="P332" i="13"/>
  <c r="P9" i="13"/>
  <c r="P268" i="13"/>
  <c r="P284" i="13"/>
  <c r="P288" i="13"/>
  <c r="P330" i="13"/>
  <c r="P213" i="13"/>
  <c r="P251" i="13"/>
  <c r="P272" i="13"/>
  <c r="P276" i="13"/>
  <c r="P350" i="13"/>
  <c r="P354" i="13"/>
  <c r="O145" i="13"/>
  <c r="P145" i="13" s="1"/>
  <c r="N172" i="13"/>
  <c r="P172" i="13" s="1"/>
  <c r="P97" i="13"/>
  <c r="P164" i="13"/>
  <c r="P259" i="13"/>
  <c r="P263" i="13"/>
  <c r="P267" i="13"/>
  <c r="P337" i="13"/>
  <c r="P102" i="13"/>
  <c r="P207" i="13"/>
  <c r="P221" i="13"/>
  <c r="P225" i="13"/>
  <c r="P229" i="13"/>
  <c r="P232" i="13"/>
  <c r="P282" i="13"/>
  <c r="P291" i="13"/>
  <c r="P295" i="13"/>
  <c r="P296" i="13"/>
  <c r="P299" i="13"/>
  <c r="P303" i="13"/>
  <c r="P238" i="13"/>
  <c r="P186" i="13"/>
  <c r="P149" i="13"/>
  <c r="P138" i="13"/>
  <c r="P195" i="13"/>
  <c r="P166" i="13"/>
  <c r="P204" i="13"/>
  <c r="P157" i="13"/>
  <c r="P159" i="13"/>
  <c r="P54" i="13"/>
  <c r="P257" i="13"/>
  <c r="P273" i="13"/>
  <c r="P274" i="13"/>
  <c r="P277" i="13"/>
  <c r="P278" i="13"/>
  <c r="P281" i="13"/>
  <c r="P285" i="13"/>
  <c r="P298" i="13"/>
  <c r="P306" i="13"/>
  <c r="P310" i="13"/>
  <c r="P314" i="13"/>
  <c r="P323" i="13"/>
  <c r="P343" i="13"/>
  <c r="P347" i="13"/>
  <c r="P348" i="13"/>
  <c r="P352" i="13"/>
  <c r="P356" i="13"/>
  <c r="P360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9" i="13"/>
  <c r="V156" i="13"/>
  <c r="V324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5" i="13"/>
  <c r="V321" i="13"/>
  <c r="V301" i="13"/>
  <c r="V54" i="13"/>
  <c r="V170" i="13"/>
  <c r="V178" i="13"/>
  <c r="V208" i="13"/>
  <c r="V266" i="13"/>
  <c r="V290" i="13"/>
  <c r="V305" i="13"/>
  <c r="V221" i="13"/>
  <c r="V225" i="13"/>
  <c r="V327" i="13"/>
  <c r="V331" i="13"/>
  <c r="V309" i="13"/>
  <c r="V313" i="13"/>
  <c r="V338" i="13"/>
  <c r="V12" i="13"/>
  <c r="V18" i="13"/>
  <c r="V43" i="13"/>
  <c r="V57" i="13"/>
  <c r="V120" i="13"/>
  <c r="V206" i="13"/>
  <c r="V285" i="13"/>
  <c r="V318" i="13"/>
  <c r="V79" i="13"/>
  <c r="V87" i="13"/>
  <c r="V95" i="13"/>
  <c r="V7" i="13"/>
  <c r="V26" i="13"/>
  <c r="V38" i="13"/>
  <c r="V247" i="13"/>
  <c r="V359" i="13"/>
  <c r="V248" i="13"/>
  <c r="V113" i="13"/>
  <c r="V161" i="13"/>
  <c r="V182" i="13"/>
  <c r="V226" i="13"/>
  <c r="V233" i="13"/>
  <c r="V288" i="13"/>
  <c r="V293" i="13"/>
  <c r="V297" i="13"/>
  <c r="V329" i="13"/>
  <c r="V284" i="13"/>
  <c r="V205" i="13"/>
  <c r="V271" i="13"/>
  <c r="V275" i="13"/>
  <c r="V279" i="13"/>
  <c r="V333" i="13"/>
  <c r="V345" i="13"/>
  <c r="V353" i="13"/>
  <c r="V357" i="13"/>
  <c r="V358" i="13"/>
  <c r="V216" i="13"/>
  <c r="V258" i="13"/>
  <c r="V262" i="13"/>
  <c r="V278" i="13"/>
  <c r="V299" i="13"/>
  <c r="V303" i="13"/>
  <c r="V315" i="13"/>
  <c r="V336" i="13"/>
  <c r="V340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2" i="13"/>
  <c r="O171" i="13"/>
  <c r="V272" i="13"/>
  <c r="V276" i="13"/>
  <c r="V280" i="13"/>
  <c r="V289" i="13"/>
  <c r="V294" i="13"/>
  <c r="V319" i="13"/>
  <c r="V323" i="13"/>
  <c r="V337" i="13"/>
  <c r="V346" i="13"/>
  <c r="V350" i="13"/>
  <c r="V354" i="13"/>
  <c r="V99" i="13"/>
  <c r="O135" i="13"/>
  <c r="N189" i="13"/>
  <c r="M148" i="13"/>
  <c r="O174" i="13"/>
  <c r="M171" i="13"/>
  <c r="V322" i="13"/>
  <c r="V116" i="13"/>
  <c r="V124" i="13"/>
  <c r="V148" i="13"/>
  <c r="V164" i="13"/>
  <c r="V169" i="13"/>
  <c r="V177" i="13"/>
  <c r="V204" i="13"/>
  <c r="V218" i="13"/>
  <c r="V231" i="13"/>
  <c r="V234" i="13"/>
  <c r="V239" i="13"/>
  <c r="V259" i="13"/>
  <c r="V263" i="13"/>
  <c r="V267" i="13"/>
  <c r="V45" i="13"/>
  <c r="V47" i="13"/>
  <c r="V52" i="13"/>
  <c r="V59" i="13"/>
  <c r="V67" i="13"/>
  <c r="V72" i="13"/>
  <c r="V181" i="13"/>
  <c r="V270" i="13"/>
  <c r="V274" i="13"/>
  <c r="V317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2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2" i="13"/>
  <c r="V257" i="13"/>
  <c r="V325" i="13"/>
  <c r="V334" i="13"/>
  <c r="V335" i="13"/>
  <c r="V344" i="13"/>
  <c r="V347" i="13"/>
  <c r="V348" i="13"/>
  <c r="V351" i="13"/>
  <c r="V352" i="13"/>
  <c r="V356" i="13"/>
  <c r="V360" i="13"/>
  <c r="V23" i="13"/>
  <c r="V273" i="13"/>
  <c r="V308" i="13"/>
  <c r="V122" i="13"/>
  <c r="V138" i="13"/>
  <c r="V172" i="13"/>
  <c r="V185" i="13"/>
  <c r="V196" i="13"/>
  <c r="V201" i="13"/>
  <c r="V232" i="13"/>
  <c r="V240" i="13"/>
  <c r="V244" i="13"/>
  <c r="V251" i="13"/>
  <c r="V255" i="13"/>
  <c r="V256" i="13"/>
  <c r="V277" i="13"/>
  <c r="V300" i="13"/>
  <c r="V143" i="13"/>
  <c r="V188" i="13"/>
  <c r="V198" i="13"/>
  <c r="V94" i="13"/>
  <c r="V97" i="13"/>
  <c r="V160" i="13"/>
  <c r="V173" i="13"/>
  <c r="V186" i="13"/>
  <c r="V194" i="13"/>
  <c r="V199" i="13"/>
  <c r="V212" i="13"/>
  <c r="V306" i="13"/>
  <c r="V310" i="13"/>
  <c r="V314" i="13"/>
  <c r="V282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1" i="13"/>
  <c r="V281" i="13"/>
  <c r="V304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9" i="13"/>
  <c r="V312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7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3" i="13"/>
  <c r="V298" i="13"/>
  <c r="V328" i="13"/>
  <c r="V332" i="13"/>
  <c r="V341" i="13"/>
  <c r="V141" i="13"/>
  <c r="V343" i="13"/>
  <c r="V264" i="13"/>
  <c r="V14" i="13"/>
  <c r="V230" i="13"/>
  <c r="V268" i="13"/>
  <c r="V326" i="13"/>
  <c r="V149" i="13"/>
  <c r="V243" i="13"/>
  <c r="V88" i="13"/>
  <c r="V93" i="13"/>
  <c r="V287" i="13"/>
  <c r="V320" i="13"/>
  <c r="V330" i="13"/>
  <c r="V100" i="13"/>
  <c r="V152" i="13"/>
  <c r="V250" i="13"/>
  <c r="V260" i="13"/>
  <c r="V311" i="13"/>
  <c r="V78" i="13"/>
  <c r="V81" i="13"/>
  <c r="V83" i="13"/>
  <c r="V209" i="13"/>
  <c r="V215" i="13"/>
  <c r="V219" i="13"/>
  <c r="V220" i="13"/>
  <c r="V228" i="13"/>
  <c r="V229" i="13"/>
  <c r="V235" i="13"/>
  <c r="V265" i="13"/>
  <c r="V283" i="13"/>
  <c r="V291" i="13"/>
  <c r="V292" i="13"/>
  <c r="V296" i="13"/>
  <c r="V316" i="13"/>
  <c r="V339" i="13"/>
  <c r="V104" i="13"/>
  <c r="V144" i="13"/>
  <c r="V254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6" i="13"/>
  <c r="V295" i="13"/>
  <c r="P72" i="13" l="1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<sst xmlns="http://schemas.openxmlformats.org/spreadsheetml/2006/main" count="3823" uniqueCount="873">
  <si>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</si>
  <si>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</si>
  <si>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</si>
  <si>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</si>
  <si>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</si>
  <si>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</si>
  <si>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</si>
  <si>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</si>
  <si>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</si>
  <si>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</si>
  <si>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</si>
  <si>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</si>
  <si>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</si>
  <si>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</si>
  <si>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</si>
  <si>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</si>
  <si>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</si>
  <si>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</si>
  <si>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</si>
  <si>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</si>
  <si>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</si>
  <si>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</si>
  <si>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</si>
  <si>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</si>
  <si>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</si>
  <si>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</si>
  <si>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</si>
  <si>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</si>
  <si>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</si>
  <si>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</si>
  <si>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</si>
  <si>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</si>
  <si>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</si>
  <si>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</si>
  <si>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</si>
  <si>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</si>
  <si>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</si>
  <si>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</si>
  <si>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</si>
  <si>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</si>
  <si>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</si>
  <si>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</si>
  <si>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</si>
  <si>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</si>
  <si>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</si>
  <si>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</si>
  <si>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</si>
  <si>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</si>
  <si>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</si>
  <si>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</si>
  <si>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</si>
  <si>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</si>
  <si>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</si>
  <si>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</si>
  <si>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</si>
  <si>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</si>
  <si>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</si>
  <si>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</si>
  <si>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</si>
  <si>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</si>
  <si>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</si>
  <si>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</si>
  <si>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</si>
  <si>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</si>
  <si>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</si>
  <si>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</si>
  <si>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</si>
  <si>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</si>
  <si>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</si>
  <si>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</si>
  <si>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</si>
  <si>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</si>
  <si>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</si>
  <si>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</si>
  <si>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</si>
  <si>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</si>
  <si>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</si>
  <si>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</si>
  <si>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</si>
  <si>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</si>
  <si>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</si>
  <si>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</si>
  <si>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</si>
  <si>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</si>
  <si>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</si>
  <si>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</si>
  <si>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</si>
  <si>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</si>
  <si>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</si>
  <si>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</si>
  <si>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</si>
  <si>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</si>
  <si>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</si>
  <si>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</si>
  <si>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</si>
  <si>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</si>
  <si>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</si>
  <si>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</si>
  <si>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</si>
  <si>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</si>
  <si>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</si>
  <si>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</si>
  <si>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</si>
  <si>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</si>
  <si>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</si>
  <si>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</si>
  <si>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</si>
  <si>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</si>
  <si>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</si>
  <si>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</si>
  <si>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</si>
  <si>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</si>
  <si>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</si>
  <si>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</si>
  <si>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</si>
  <si>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</si>
  <si>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</si>
  <si>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</si>
  <si>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</si>
  <si>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</si>
  <si>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</si>
  <si>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</si>
  <si>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</si>
  <si>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</si>
  <si>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</si>
  <si>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</si>
  <si>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</si>
  <si>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</si>
  <si>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</si>
  <si>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</si>
  <si>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</si>
  <si>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</si>
  <si>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</si>
  <si>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</si>
  <si>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</si>
  <si>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</si>
  <si>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</si>
  <si>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</si>
  <si>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</si>
  <si>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</si>
  <si>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</si>
  <si>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</si>
  <si>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</si>
  <si>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</si>
  <si>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</si>
  <si>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</si>
  <si>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</si>
  <si>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</si>
  <si>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</si>
  <si>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</si>
  <si>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</si>
  <si>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</si>
  <si>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</si>
  <si>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</si>
  <si>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</si>
  <si>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</si>
  <si>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</si>
  <si>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</si>
  <si>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</si>
  <si>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</si>
  <si>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</si>
  <si>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</si>
  <si>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</si>
  <si>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</si>
  <si>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</si>
  <si>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</si>
  <si>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</si>
  <si>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</si>
  <si>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</si>
  <si>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</si>
  <si>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</si>
  <si>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</si>
  <si>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</si>
  <si>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</si>
  <si>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</si>
  <si>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</si>
  <si>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</si>
  <si>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</si>
  <si>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</si>
  <si>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</si>
  <si>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</si>
  <si>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</si>
  <si>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</si>
  <si>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</si>
  <si>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</si>
  <si>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</si>
  <si>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</si>
  <si>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</si>
  <si>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</si>
  <si>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</si>
  <si>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</si>
  <si>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</si>
  <si>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</si>
  <si>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</si>
  <si>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</si>
  <si>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</si>
  <si>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</si>
  <si>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</si>
  <si>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</si>
  <si>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</si>
  <si>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</si>
  <si>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</si>
  <si>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</si>
  <si>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</si>
  <si>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</si>
  <si>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</si>
  <si>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</si>
  <si>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</si>
  <si>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</si>
  <si>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</si>
  <si>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</si>
  <si>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</si>
  <si>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</si>
  <si>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</si>
  <si>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</si>
  <si>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</si>
  <si>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</si>
  <si>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</si>
  <si>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</si>
  <si>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</si>
  <si>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</si>
  <si>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</si>
  <si>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</si>
  <si>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</si>
  <si>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</si>
  <si>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</si>
  <si>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</si>
  <si>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</si>
  <si>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</si>
  <si>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</si>
  <si>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</si>
  <si>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</si>
  <si>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</si>
  <si>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</si>
  <si>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</si>
  <si>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</si>
  <si>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</si>
  <si>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</si>
  <si>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</si>
  <si>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</si>
  <si>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</si>
  <si>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</si>
  <si>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</si>
  <si>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</si>
  <si>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</si>
  <si>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</si>
  <si>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</si>
  <si>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</si>
  <si>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</si>
  <si>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</si>
  <si>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</si>
  <si>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</si>
  <si>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</si>
  <si>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</si>
  <si>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</si>
  <si>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</si>
  <si>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</si>
  <si>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</si>
  <si>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</si>
  <si>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</si>
  <si>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</si>
  <si>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</si>
  <si>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</si>
  <si>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</si>
  <si>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</si>
  <si>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</si>
  <si>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</si>
  <si>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</si>
  <si>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</si>
  <si>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</si>
  <si>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</si>
  <si>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</si>
  <si>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</si>
  <si>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</si>
  <si>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</si>
  <si>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</si>
  <si>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</si>
  <si>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</si>
  <si>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</si>
  <si>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</si>
  <si>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</si>
  <si>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</si>
  <si>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</si>
  <si>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</si>
  <si>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</si>
  <si>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</si>
  <si>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</si>
  <si>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</si>
  <si>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</si>
  <si>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</si>
  <si>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</si>
  <si>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</si>
  <si>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</si>
  <si>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</si>
  <si>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</si>
  <si>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</si>
  <si>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</si>
  <si>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</si>
  <si>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</si>
  <si>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</si>
  <si>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</si>
  <si>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</si>
  <si>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</si>
  <si>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</si>
  <si>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</si>
  <si>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</si>
  <si>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</si>
  <si>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</si>
  <si>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</si>
  <si>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</si>
  <si>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</si>
  <si>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</si>
  <si>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</si>
  <si>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</si>
  <si>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</si>
  <si>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</si>
  <si>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</si>
  <si>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</si>
  <si>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</si>
  <si>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</si>
  <si>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</si>
  <si>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</si>
  <si>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</si>
  <si>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</si>
  <si>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</si>
  <si>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</si>
  <si>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</si>
  <si>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</si>
  <si>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</si>
  <si>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</si>
  <si>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</si>
  <si>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</si>
  <si>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</si>
  <si>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</si>
  <si>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</si>
  <si>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</si>
  <si>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</si>
  <si>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</si>
  <si>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</si>
  <si>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</si>
  <si>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</si>
  <si>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</si>
  <si>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</si>
  <si>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</si>
  <si>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</si>
  <si>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</si>
  <si>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</si>
  <si>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</si>
  <si>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</si>
  <si>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</si>
  <si>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</si>
  <si>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</si>
  <si>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</si>
  <si>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</si>
  <si>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</si>
  <si>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</si>
  <si>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</si>
  <si>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</si>
  <si>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</si>
  <si>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</si>
  <si>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</si>
  <si>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</si>
  <si>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</si>
  <si>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</si>
  <si>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</si>
  <si>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</si>
  <si>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</si>
  <si>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</si>
  <si>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</si>
  <si>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</si>
  <si>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</si>
  <si>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</si>
  <si>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</si>
  <si>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</si>
  <si>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</si>
  <si>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</si>
  <si>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</si>
  <si>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</si>
  <si>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</si>
  <si>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</si>
  <si>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</si>
  <si>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</si>
  <si>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</si>
  <si>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</si>
  <si>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</si>
  <si>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</si>
  <si>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</si>
  <si>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</si>
  <si>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</si>
  <si>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</si>
  <si>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</si>
  <si>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</si>
  <si>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</si>
  <si>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</si>
  <si>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</si>
  <si>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</si>
  <si>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</si>
  <si>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</si>
  <si>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</si>
  <si>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</si>
  <si>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</si>
  <si>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</si>
  <si>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</si>
  <si>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</si>
  <si>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</si>
  <si>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</si>
  <si>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</si>
  <si>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</si>
  <si>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</si>
  <si>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</si>
  <si>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</si>
  <si>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</si>
  <si>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</si>
  <si>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</si>
  <si>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</si>
  <si>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</si>
  <si>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</si>
  <si>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</si>
  <si>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</si>
  <si>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</si>
  <si>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</si>
  <si>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</si>
  <si>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</si>
  <si>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</si>
  <si>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</si>
  <si>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</si>
  <si>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</si>
  <si>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</si>
  <si>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</si>
  <si>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</si>
  <si>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</si>
  <si>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</si>
  <si>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</si>
  <si>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</si>
  <si>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</si>
  <si>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</si>
  <si>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</si>
  <si>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</si>
  <si>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</si>
  <si>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</si>
  <si>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</si>
  <si>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</si>
  <si>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</si>
  <si>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</si>
  <si>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</si>
  <si>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</si>
  <si>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</si>
  <si>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</si>
  <si>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</si>
  <si>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</si>
  <si>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</si>
  <si>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</si>
  <si>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</si>
  <si>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</si>
  <si>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</si>
  <si>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</si>
  <si>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</si>
  <si>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</si>
  <si>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</si>
  <si>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</si>
  <si>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</si>
  <si>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</si>
  <si>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</si>
  <si>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</si>
  <si>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</si>
  <si>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</si>
  <si>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</si>
  <si>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</si>
  <si>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</si>
  <si>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</si>
  <si>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</si>
  <si>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</si>
  <si>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</si>
  <si>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</si>
  <si>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</si>
  <si>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</si>
  <si>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</si>
  <si>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</si>
  <si>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</si>
  <si>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</si>
  <si>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</si>
  <si>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</si>
  <si>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</si>
  <si>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</si>
  <si>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</si>
  <si>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</si>
  <si>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</si>
  <si>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</si>
  <si>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</si>
  <si>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</si>
  <si>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</si>
  <si>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</si>
  <si>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</si>
  <si>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</si>
  <si>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</si>
  <si>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</si>
  <si>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</si>
  <si>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</si>
  <si>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</si>
  <si>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</si>
  <si>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</si>
  <si>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</si>
  <si>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</si>
  <si>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</si>
  <si>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</si>
  <si>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</si>
  <si>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</si>
  <si>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</si>
  <si>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</si>
  <si>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</si>
  <si>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</si>
  <si>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</si>
  <si>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</si>
  <si>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</si>
  <si>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</si>
  <si>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</si>
  <si>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</si>
  <si>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</si>
  <si>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</si>
  <si>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</si>
  <si>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</si>
  <si>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</si>
  <si>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</si>
  <si>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</si>
  <si>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</si>
  <si>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</si>
  <si>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</si>
  <si>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</si>
  <si>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</si>
  <si>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</si>
  <si>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</si>
  <si>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</si>
  <si>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</si>
  <si>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</si>
  <si>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</si>
  <si>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</si>
  <si>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</si>
  <si>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</si>
  <si>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</si>
  <si>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</si>
  <si>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</si>
  <si>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</si>
  <si>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</si>
  <si>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</si>
  <si>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</si>
  <si>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</si>
  <si>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</si>
  <si>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</si>
  <si>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</si>
  <si>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</si>
  <si>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</si>
  <si>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</si>
  <si>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</si>
  <si>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</si>
  <si>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</si>
  <si>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</si>
  <si>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</si>
  <si>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</si>
  <si>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</si>
  <si>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</si>
  <si>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</si>
  <si>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</si>
  <si>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</si>
  <si>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</si>
  <si>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</si>
  <si>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</si>
  <si>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</si>
  <si>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</si>
  <si>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</si>
  <si>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</si>
  <si>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</si>
  <si>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</si>
  <si>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</si>
  <si>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</si>
  <si>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</si>
  <si>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</si>
  <si>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</si>
  <si>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</si>
  <si>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</si>
  <si>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</si>
  <si>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</si>
  <si>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</si>
  <si>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</si>
  <si>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</si>
  <si>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</si>
  <si>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</si>
  <si>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</si>
  <si>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</si>
  <si>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</si>
  <si>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</si>
  <si>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</si>
  <si>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</si>
  <si>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</si>
  <si>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</si>
  <si>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</si>
  <si>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</si>
  <si>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</si>
  <si>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</si>
  <si>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</si>
  <si>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</si>
  <si>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</si>
  <si>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</si>
  <si>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</si>
  <si>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</si>
  <si>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</si>
  <si>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</si>
  <si>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</si>
  <si>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</si>
  <si>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</si>
  <si>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</si>
  <si>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</si>
  <si>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</si>
  <si>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</si>
  <si>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</si>
  <si>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</si>
  <si>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</si>
  <si>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</si>
  <si>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</si>
  <si>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</si>
  <si>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</si>
  <si>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</si>
  <si>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</si>
  <si>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</si>
  <si>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</si>
  <si>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</si>
  <si>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</si>
  <si>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</si>
  <si>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</si>
  <si>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</si>
  <si>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</si>
  <si>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</si>
  <si>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</si>
  <si>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</si>
  <si>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</si>
  <si>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</si>
  <si>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</si>
  <si>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</si>
  <si>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</si>
  <si>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</si>
  <si>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</si>
  <si>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</si>
  <si>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</si>
  <si>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</si>
  <si>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</si>
  <si>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</si>
  <si>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</si>
  <si>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</si>
  <si>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</si>
  <si>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</si>
  <si>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</si>
  <si>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</si>
  <si>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</si>
  <si>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</si>
  <si>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</si>
  <si>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</si>
  <si>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</si>
  <si>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</si>
  <si>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</si>
  <si>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</si>
  <si>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</si>
  <si>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</si>
  <si>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</si>
  <si>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</si>
  <si>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</si>
  <si>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</si>
  <si>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</si>
  <si>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</si>
  <si>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</si>
  <si>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</si>
  <si>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</si>
  <si>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</si>
  <si>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</si>
  <si>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</si>
  <si>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</si>
  <si>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</si>
  <si>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</si>
  <si>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</si>
  <si>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</si>
  <si>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</si>
  <si>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</si>
  <si>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</si>
  <si>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</si>
  <si>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</si>
  <si>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</si>
  <si>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</si>
  <si>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</si>
  <si>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</si>
  <si>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</si>
  <si>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</si>
  <si>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</si>
  <si>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</si>
  <si>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</si>
  <si>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</si>
  <si>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</si>
  <si>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</si>
  <si>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</si>
  <si>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</si>
  <si>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</si>
  <si>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</si>
  <si>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</si>
  <si>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</si>
  <si>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</si>
  <si>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</si>
  <si>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</si>
  <si>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</si>
  <si>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</si>
  <si>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</si>
  <si>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</si>
  <si>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</si>
  <si>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</si>
  <si>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</si>
  <si>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</si>
  <si>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</si>
  <si>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</si>
  <si>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</si>
  <si>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</si>
  <si>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</si>
  <si>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</si>
  <si>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</si>
  <si>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</si>
  <si>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</si>
  <si>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</si>
  <si>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</si>
  <si>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</si>
  <si>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</si>
  <si>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</si>
  <si>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</si>
  <si>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</si>
  <si>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</si>
  <si>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</si>
  <si>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</si>
  <si>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</si>
  <si>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</si>
  <si>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</si>
  <si>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</si>
  <si>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</si>
  <si>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</si>
  <si>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</si>
  <si>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</si>
  <si>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</si>
  <si>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</si>
  <si>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</si>
  <si>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</si>
  <si>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</si>
  <si>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</si>
  <si>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</si>
  <si>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</si>
  <si>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</si>
  <si>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</si>
  <si>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</si>
  <si>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</si>
  <si>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</si>
  <si>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On Order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</si>
  <si>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</si>
  <si>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</si>
  <si>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</si>
  <si>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</si>
  <si>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</si>
  <si>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</si>
  <si>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</si>
  <si>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</si>
  <si>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</si>
  <si>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</si>
  <si>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</si>
  <si>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</si>
  <si>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</si>
  <si>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</si>
  <si>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</si>
  <si>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</si>
  <si>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</si>
  <si>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</si>
  <si>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</si>
  <si>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</si>
  <si>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</si>
  <si>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</si>
  <si>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</si>
  <si>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</si>
  <si>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</si>
  <si>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</si>
  <si>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</si>
  <si>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</si>
  <si>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</si>
  <si>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</si>
  <si>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</si>
  <si>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</si>
  <si>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Reference Only.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</si>
  <si>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</si>
  <si>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</si>
  <si>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</si>
  <si>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</si>
  <si>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</si>
  <si>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</si>
  <si>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</si>
  <si>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</si>
  <si>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</si>
  <si>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</si>
  <si>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</si>
  <si>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</si>
  <si>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</si>
  <si>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</si>
  <si>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</si>
  <si>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</si>
  <si>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</si>
  <si>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</si>
  <si>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</si>
  <si>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</si>
  <si>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</si>
  <si>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</si>
  <si>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</si>
  <si>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</si>
  <si>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</si>
  <si>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</si>
  <si>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</si>
  <si>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</si>
  <si>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</si>
  <si>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</si>
  <si>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</si>
  <si>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</si>
  <si>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Inspect condition.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</si>
  <si>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</si>
  <si>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</si>
  <si>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</si>
  <si>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</si>
  <si>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</si>
  <si>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</si>
  <si>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</si>
  <si>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</si>
  <si>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</si>
  <si>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</si>
  <si>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</si>
  <si>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</si>
  <si>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</si>
  <si>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</si>
  <si>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</si>
  <si>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</si>
  <si>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</si>
  <si>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</si>
  <si>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</si>
  <si>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</si>
  <si>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</si>
  <si>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</si>
  <si>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</si>
  <si>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</si>
  <si>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</si>
  <si>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</si>
  <si>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</si>
  <si>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</si>
  <si>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</si>
  <si>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</si>
  <si>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</si>
  <si>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</si>
  <si>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</si>
  <si>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</si>
  <si>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</si>
  <si>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</si>
  <si>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</si>
  <si>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</si>
  <si>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</si>
  <si>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</si>
  <si>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</si>
  <si>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</si>
  <si>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</si>
  <si>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</si>
  <si>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</si>
  <si>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</si>
  <si>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</si>
  <si>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</si>
  <si>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</si>
  <si>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</si>
  <si>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</si>
  <si>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</si>
  <si>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</si>
  <si>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v3.5.0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</si>
</sst>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3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abSelected="1" topLeftCell="A7" zoomScale="115" zoomScaleNormal="115" workbookViewId="0">
      <selection activeCell="I7" sqref="I7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60"/>
  <sheetViews>
    <sheetView showGridLines="0" zoomScale="115" zoomScaleNormal="115" zoomScaleSheetLayoutView="69" workbookViewId="0">
      <pane ySplit="2" topLeftCell="A3" activePane="bottomLeft" state="frozen"/>
      <selection pane="bottomLeft" activeCell="Z1" sqref="Z1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0" t="s">
        <v>784</v>
      </c>
      <c r="B1" s="91"/>
      <c r="C1" s="91"/>
      <c r="D1" s="91"/>
      <c r="E1" s="91"/>
      <c r="F1" s="91"/>
      <c r="G1" s="91"/>
      <c r="H1" s="91"/>
      <c r="I1" s="91"/>
      <c r="J1" s="92"/>
      <c r="Z1" s="22" t="s">
        <v>872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797</v>
      </c>
      <c r="AA2" s="8" t="s">
        <v>787</v>
      </c>
      <c r="AB2" s="8" t="s">
        <v>788</v>
      </c>
      <c r="AC2" s="8" t="s">
        <v>789</v>
      </c>
      <c r="AD2" s="8" t="s">
        <v>790</v>
      </c>
      <c r="AE2" s="8" t="s">
        <v>791</v>
      </c>
      <c r="AF2" s="8" t="s">
        <v>792</v>
      </c>
      <c r="AG2" s="8" t="s">
        <v>793</v>
      </c>
      <c r="AH2" s="8" t="s">
        <v>794</v>
      </c>
      <c r="AI2" s="8" t="s">
        <v>795</v>
      </c>
      <c r="AJ2" s="8" t="s">
        <v>796</v>
      </c>
      <c r="AK2" s="8" t="s">
        <v>867</v>
      </c>
      <c r="AL2" s="8" t="s">
        <v>870</v>
      </c>
      <c r="AM2" s="8" t="s">
        <v>871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05</v>
      </c>
      <c r="V3" s="21" t="str">
        <f ca="1">CONCATENATE(S3,T3,U3)</f>
        <v>20221205</v>
      </c>
      <c r="Z3" s="29" t="s">
        <v>798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05</v>
      </c>
      <c r="V4" s="21" t="str">
        <f t="shared" ref="V4:V64" ca="1" si="7">CONCATENATE(S4,T4,U4)</f>
        <v>20221205</v>
      </c>
      <c r="Z4" s="6" t="s">
        <v>798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05</v>
      </c>
      <c r="V5" s="21" t="str">
        <f t="shared" ca="1" si="7"/>
        <v>20221205</v>
      </c>
      <c r="Z5" s="29" t="s">
        <v>798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05</v>
      </c>
      <c r="V6" s="21" t="str">
        <f t="shared" ca="1" si="7"/>
        <v>20221205</v>
      </c>
      <c r="Z6" s="6" t="s">
        <v>798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05</v>
      </c>
      <c r="V7" s="21" t="str">
        <f t="shared" ca="1" si="7"/>
        <v>20221205</v>
      </c>
      <c r="Z7" s="29" t="s">
        <v>798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772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05</v>
      </c>
      <c r="V8" s="21" t="str">
        <f t="shared" ca="1" si="7"/>
        <v>20221205</v>
      </c>
      <c r="Z8" s="6" t="s">
        <v>798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05</v>
      </c>
      <c r="V9" s="21" t="str">
        <f t="shared" ca="1" si="7"/>
        <v>20221205</v>
      </c>
      <c r="Z9" s="29" t="s">
        <v>798</v>
      </c>
      <c r="AA9" s="6" t="s">
        <v>821</v>
      </c>
      <c r="AB9" s="6" t="s">
        <v>4</v>
      </c>
      <c r="AC9" s="6" t="s">
        <v>822</v>
      </c>
      <c r="AD9" s="6" t="s">
        <v>4</v>
      </c>
      <c r="AE9" s="6" t="s">
        <v>823</v>
      </c>
      <c r="AF9" s="6" t="s">
        <v>4</v>
      </c>
      <c r="AG9" s="6" t="s">
        <v>824</v>
      </c>
      <c r="AH9" s="6" t="s">
        <v>4</v>
      </c>
      <c r="AI9" s="6" t="s">
        <v>825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826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05</v>
      </c>
      <c r="V10" s="21" t="str">
        <f t="shared" ca="1" si="7"/>
        <v>20221205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05</v>
      </c>
      <c r="V11" s="21" t="str">
        <f t="shared" ca="1" si="7"/>
        <v>20221205</v>
      </c>
      <c r="Z11" s="29" t="s">
        <v>798</v>
      </c>
      <c r="AA11" s="6" t="s">
        <v>827</v>
      </c>
      <c r="AB11" s="6" t="s">
        <v>4</v>
      </c>
      <c r="AC11" s="6" t="s">
        <v>828</v>
      </c>
      <c r="AD11" s="6" t="s">
        <v>829</v>
      </c>
      <c r="AE11" s="6" t="s">
        <v>830</v>
      </c>
      <c r="AF11" s="6" t="s">
        <v>831</v>
      </c>
      <c r="AG11" s="6" t="s">
        <v>832</v>
      </c>
      <c r="AH11" s="6" t="s">
        <v>833</v>
      </c>
      <c r="AI11" s="6" t="s">
        <v>834</v>
      </c>
      <c r="AJ11" s="6" t="s">
        <v>835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05</v>
      </c>
      <c r="V12" s="21" t="str">
        <f t="shared" ca="1" si="7"/>
        <v>20221205</v>
      </c>
      <c r="Z12" s="6" t="s">
        <v>798</v>
      </c>
      <c r="AK12" s="87">
        <v>44264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05</v>
      </c>
      <c r="V13" s="21" t="str">
        <f t="shared" ca="1" si="7"/>
        <v>20221205</v>
      </c>
      <c r="Z13" s="29" t="s">
        <v>798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05</v>
      </c>
      <c r="V14" s="21" t="str">
        <f t="shared" ca="1" si="7"/>
        <v>20221205</v>
      </c>
      <c r="Z14" s="6" t="s">
        <v>798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05</v>
      </c>
      <c r="V15" s="21" t="str">
        <f t="shared" ca="1" si="7"/>
        <v>20221205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755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05</v>
      </c>
      <c r="V16" s="21" t="str">
        <f t="shared" ca="1" si="7"/>
        <v>20221205</v>
      </c>
      <c r="Z16" s="6" t="s">
        <v>626</v>
      </c>
      <c r="AK16" s="6" t="s">
        <v>577</v>
      </c>
    </row>
    <row r="17" spans="1:37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05</v>
      </c>
      <c r="V17" s="21" t="str">
        <f t="shared" ca="1" si="7"/>
        <v>20221205</v>
      </c>
      <c r="Z17" s="29" t="s">
        <v>798</v>
      </c>
    </row>
    <row r="18" spans="1:37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05</v>
      </c>
      <c r="V18" s="21" t="str">
        <f t="shared" ca="1" si="7"/>
        <v>20221205</v>
      </c>
      <c r="Z18" s="6" t="s">
        <v>798</v>
      </c>
    </row>
    <row r="19" spans="1:37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05</v>
      </c>
      <c r="V19" s="21" t="str">
        <f t="shared" ca="1" si="7"/>
        <v>20221205</v>
      </c>
      <c r="Z19" s="29" t="s">
        <v>798</v>
      </c>
    </row>
    <row r="20" spans="1:37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05</v>
      </c>
      <c r="V20" s="21" t="str">
        <f t="shared" ca="1" si="7"/>
        <v>20221205</v>
      </c>
      <c r="Z20" s="6" t="s">
        <v>798</v>
      </c>
      <c r="AK20" s="6" t="s">
        <v>713</v>
      </c>
    </row>
    <row r="21" spans="1:37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05</v>
      </c>
      <c r="V21" s="21" t="str">
        <f t="shared" ca="1" si="7"/>
        <v>20221205</v>
      </c>
      <c r="Z21" s="29" t="s">
        <v>798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7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05</v>
      </c>
      <c r="V22" s="21" t="str">
        <f t="shared" ca="1" si="7"/>
        <v>20221205</v>
      </c>
      <c r="Z22" s="6" t="s">
        <v>798</v>
      </c>
      <c r="AK22" s="6" t="s">
        <v>729</v>
      </c>
    </row>
    <row r="23" spans="1:37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05</v>
      </c>
      <c r="V23" s="21" t="str">
        <f t="shared" ca="1" si="7"/>
        <v>20221205</v>
      </c>
      <c r="Z23" s="29" t="s">
        <v>798</v>
      </c>
      <c r="AK23" s="6" t="s">
        <v>720</v>
      </c>
    </row>
    <row r="24" spans="1:37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05</v>
      </c>
      <c r="V24" s="21" t="str">
        <f t="shared" ca="1" si="7"/>
        <v>20221205</v>
      </c>
      <c r="Z24" s="6" t="s">
        <v>798</v>
      </c>
      <c r="AK24" s="6" t="s">
        <v>720</v>
      </c>
    </row>
    <row r="25" spans="1:37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05</v>
      </c>
      <c r="V25" s="21" t="str">
        <f t="shared" ca="1" si="7"/>
        <v>20221205</v>
      </c>
      <c r="Z25" s="29" t="s">
        <v>798</v>
      </c>
      <c r="AK25" s="6" t="s">
        <v>720</v>
      </c>
    </row>
    <row r="26" spans="1:37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05</v>
      </c>
      <c r="V26" s="21" t="str">
        <f t="shared" ca="1" si="7"/>
        <v>20221205</v>
      </c>
      <c r="Z26" s="6" t="s">
        <v>798</v>
      </c>
      <c r="AK26" s="6" t="s">
        <v>709</v>
      </c>
    </row>
    <row r="27" spans="1:37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05</v>
      </c>
      <c r="V27" s="21" t="str">
        <f t="shared" ca="1" si="7"/>
        <v>20221205</v>
      </c>
      <c r="Z27" s="29" t="s">
        <v>798</v>
      </c>
      <c r="AK27" s="6" t="s">
        <v>709</v>
      </c>
    </row>
    <row r="28" spans="1:37" ht="16.350000000000001" customHeight="1" x14ac:dyDescent="0.2">
      <c r="A28" s="14" t="s">
        <v>52</v>
      </c>
      <c r="B28" s="59">
        <v>1024386</v>
      </c>
      <c r="C28" s="15" t="s">
        <v>53</v>
      </c>
      <c r="D28" s="15" t="s">
        <v>158</v>
      </c>
      <c r="E28" s="15" t="s">
        <v>22</v>
      </c>
      <c r="F28" s="16" t="s">
        <v>762</v>
      </c>
      <c r="G28" s="17" t="s">
        <v>761</v>
      </c>
      <c r="H28" s="15" t="s">
        <v>14</v>
      </c>
      <c r="I28" s="15" t="s">
        <v>19</v>
      </c>
      <c r="J28" s="54" t="s">
        <v>785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05</v>
      </c>
      <c r="V28" s="21" t="str">
        <f t="shared" ca="1" si="7"/>
        <v>20221205</v>
      </c>
      <c r="Z28" s="6" t="s">
        <v>798</v>
      </c>
      <c r="AK28" s="6" t="s">
        <v>762</v>
      </c>
    </row>
    <row r="29" spans="1:37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05</v>
      </c>
      <c r="V29" s="21" t="str">
        <f t="shared" ca="1" si="7"/>
        <v>20221205</v>
      </c>
      <c r="Z29" s="29" t="s">
        <v>798</v>
      </c>
      <c r="AK29" s="6" t="s">
        <v>708</v>
      </c>
    </row>
    <row r="30" spans="1:37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05</v>
      </c>
      <c r="V30" s="21" t="str">
        <f t="shared" ca="1" si="7"/>
        <v>20221205</v>
      </c>
      <c r="Z30" s="6" t="s">
        <v>798</v>
      </c>
      <c r="AK30" s="6" t="s">
        <v>743</v>
      </c>
    </row>
    <row r="31" spans="1:37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05</v>
      </c>
      <c r="V31" s="21" t="str">
        <f t="shared" ca="1" si="7"/>
        <v>20221205</v>
      </c>
      <c r="Z31" s="29" t="s">
        <v>798</v>
      </c>
      <c r="AK31" s="6" t="s">
        <v>708</v>
      </c>
    </row>
    <row r="32" spans="1:37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05</v>
      </c>
      <c r="V32" s="21" t="str">
        <f t="shared" ca="1" si="7"/>
        <v>20221205</v>
      </c>
      <c r="Z32" s="6" t="s">
        <v>798</v>
      </c>
    </row>
    <row r="33" spans="1:37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05</v>
      </c>
      <c r="V33" s="21" t="str">
        <f t="shared" ca="1" si="7"/>
        <v>20221205</v>
      </c>
      <c r="Z33" s="29" t="s">
        <v>798</v>
      </c>
    </row>
    <row r="34" spans="1:37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819</v>
      </c>
      <c r="G34" s="17" t="s">
        <v>820</v>
      </c>
      <c r="H34" s="15" t="s">
        <v>14</v>
      </c>
      <c r="I34" s="15" t="s">
        <v>19</v>
      </c>
      <c r="J34" s="54" t="s">
        <v>759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05</v>
      </c>
      <c r="V34" s="21" t="str">
        <f t="shared" ca="1" si="7"/>
        <v>20221205</v>
      </c>
      <c r="Z34" s="29" t="s">
        <v>798</v>
      </c>
      <c r="AK34" s="6" t="s">
        <v>819</v>
      </c>
    </row>
    <row r="35" spans="1:37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05</v>
      </c>
      <c r="V35" s="21" t="str">
        <f t="shared" ca="1" si="7"/>
        <v>20221205</v>
      </c>
      <c r="Z35" s="29" t="s">
        <v>798</v>
      </c>
      <c r="AK35" s="6" t="s">
        <v>743</v>
      </c>
    </row>
    <row r="36" spans="1:37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05</v>
      </c>
      <c r="V36" s="21" t="str">
        <f t="shared" ca="1" si="7"/>
        <v>20221205</v>
      </c>
      <c r="Z36" s="6" t="s">
        <v>798</v>
      </c>
      <c r="AK36" s="6" t="s">
        <v>745</v>
      </c>
    </row>
    <row r="37" spans="1:37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05</v>
      </c>
      <c r="V37" s="21" t="str">
        <f t="shared" ca="1" si="7"/>
        <v>20221205</v>
      </c>
      <c r="Z37" s="29" t="s">
        <v>798</v>
      </c>
      <c r="AK37" s="6" t="s">
        <v>745</v>
      </c>
    </row>
    <row r="38" spans="1:37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05</v>
      </c>
      <c r="V38" s="21" t="str">
        <f t="shared" ca="1" si="7"/>
        <v>20221205</v>
      </c>
      <c r="Z38" s="6" t="s">
        <v>798</v>
      </c>
      <c r="AK38" s="6" t="s">
        <v>743</v>
      </c>
    </row>
    <row r="39" spans="1:37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05</v>
      </c>
      <c r="V39" s="21" t="str">
        <f t="shared" ca="1" si="7"/>
        <v>20221205</v>
      </c>
      <c r="Z39" s="29" t="s">
        <v>798</v>
      </c>
      <c r="AK39" s="6" t="s">
        <v>673</v>
      </c>
    </row>
    <row r="40" spans="1:37" ht="16.350000000000001" hidden="1" customHeight="1" x14ac:dyDescent="0.2">
      <c r="A40" s="14" t="s">
        <v>498</v>
      </c>
      <c r="B40" s="59" t="s">
        <v>799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05</v>
      </c>
      <c r="V40" s="21" t="str">
        <f t="shared" ca="1" si="7"/>
        <v>20221205</v>
      </c>
      <c r="Z40" s="6" t="s">
        <v>626</v>
      </c>
      <c r="AK40" s="6" t="s">
        <v>500</v>
      </c>
    </row>
    <row r="41" spans="1:37" ht="16.350000000000001" customHeight="1" x14ac:dyDescent="0.2">
      <c r="A41" s="14" t="s">
        <v>468</v>
      </c>
      <c r="B41" s="59" t="s">
        <v>855</v>
      </c>
      <c r="C41" s="15" t="s">
        <v>464</v>
      </c>
      <c r="D41" s="15" t="s">
        <v>467</v>
      </c>
      <c r="E41" s="15" t="s">
        <v>429</v>
      </c>
      <c r="F41" s="16" t="s">
        <v>762</v>
      </c>
      <c r="G41" s="17" t="s">
        <v>761</v>
      </c>
      <c r="H41" s="15" t="s">
        <v>14</v>
      </c>
      <c r="I41" s="15" t="s">
        <v>138</v>
      </c>
      <c r="J41" s="54" t="s">
        <v>856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05</v>
      </c>
      <c r="V41" s="21" t="str">
        <f t="shared" ca="1" si="7"/>
        <v>20221205</v>
      </c>
      <c r="Z41" s="29" t="s">
        <v>798</v>
      </c>
      <c r="AK41" s="6" t="s">
        <v>762</v>
      </c>
    </row>
    <row r="42" spans="1:37" ht="16.350000000000001" customHeight="1" x14ac:dyDescent="0.2">
      <c r="A42" s="14" t="s">
        <v>470</v>
      </c>
      <c r="B42" s="59" t="s">
        <v>857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858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05</v>
      </c>
      <c r="V42" s="21" t="str">
        <f t="shared" ca="1" si="7"/>
        <v>20221205</v>
      </c>
      <c r="Z42" s="6" t="s">
        <v>798</v>
      </c>
      <c r="AK42" s="6" t="s">
        <v>471</v>
      </c>
    </row>
    <row r="43" spans="1:37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05</v>
      </c>
      <c r="V43" s="21" t="str">
        <f t="shared" ca="1" si="7"/>
        <v>20221205</v>
      </c>
      <c r="Z43" s="29" t="s">
        <v>798</v>
      </c>
      <c r="AK43" s="6" t="s">
        <v>663</v>
      </c>
    </row>
    <row r="44" spans="1:37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05</v>
      </c>
      <c r="V44" s="21" t="str">
        <f t="shared" ca="1" si="7"/>
        <v>20221205</v>
      </c>
      <c r="Z44" s="6" t="s">
        <v>798</v>
      </c>
      <c r="AK44" s="6" t="s">
        <v>634</v>
      </c>
    </row>
    <row r="45" spans="1:37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05</v>
      </c>
      <c r="V45" s="21" t="str">
        <f t="shared" ca="1" si="7"/>
        <v>20221205</v>
      </c>
      <c r="Z45" s="29" t="s">
        <v>798</v>
      </c>
      <c r="AK45" s="6" t="s">
        <v>708</v>
      </c>
    </row>
    <row r="46" spans="1:37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05</v>
      </c>
      <c r="V46" s="21" t="str">
        <f t="shared" ca="1" si="7"/>
        <v>20221205</v>
      </c>
      <c r="Z46" s="6" t="s">
        <v>798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7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05</v>
      </c>
      <c r="V47" s="21" t="str">
        <f t="shared" ca="1" si="7"/>
        <v>20221205</v>
      </c>
      <c r="Z47" s="29" t="s">
        <v>798</v>
      </c>
      <c r="AK47" s="6" t="s">
        <v>699</v>
      </c>
    </row>
    <row r="48" spans="1:37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05</v>
      </c>
      <c r="V48" s="21" t="str">
        <f t="shared" ca="1" si="7"/>
        <v>20221205</v>
      </c>
      <c r="Z48" s="6" t="s">
        <v>798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05</v>
      </c>
      <c r="V49" s="21" t="str">
        <f t="shared" ca="1" si="7"/>
        <v>20221205</v>
      </c>
      <c r="Z49" s="29" t="s">
        <v>798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05</v>
      </c>
      <c r="V50" s="21" t="str">
        <f t="shared" ca="1" si="7"/>
        <v>20221205</v>
      </c>
      <c r="Z50" s="6" t="s">
        <v>798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05</v>
      </c>
      <c r="V51" s="21" t="str">
        <f t="shared" ca="1" si="7"/>
        <v>20221205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05</v>
      </c>
      <c r="V52" s="21" t="str">
        <f t="shared" ca="1" si="7"/>
        <v>20221205</v>
      </c>
      <c r="Z52" s="6" t="s">
        <v>798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05</v>
      </c>
      <c r="V53" s="21" t="str">
        <f t="shared" ca="1" si="7"/>
        <v>20221205</v>
      </c>
      <c r="Z53" s="29" t="s">
        <v>798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05</v>
      </c>
      <c r="V54" s="21" t="str">
        <f t="shared" ca="1" si="7"/>
        <v>20221205</v>
      </c>
      <c r="Z54" s="6" t="s">
        <v>798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05</v>
      </c>
      <c r="V55" s="21" t="str">
        <f t="shared" ca="1" si="7"/>
        <v>20221205</v>
      </c>
      <c r="Z55" s="29" t="s">
        <v>798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05</v>
      </c>
      <c r="V56" s="21" t="str">
        <f t="shared" ca="1" si="7"/>
        <v>20221205</v>
      </c>
      <c r="Z56" s="6" t="s">
        <v>798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05</v>
      </c>
      <c r="V57" s="21" t="str">
        <f t="shared" ca="1" si="7"/>
        <v>20221205</v>
      </c>
      <c r="Z57" s="29" t="s">
        <v>798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05</v>
      </c>
      <c r="V58" s="21" t="str">
        <f t="shared" ca="1" si="7"/>
        <v>20221205</v>
      </c>
      <c r="Z58" s="6" t="s">
        <v>798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853</v>
      </c>
      <c r="G59" s="17" t="s">
        <v>854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05</v>
      </c>
      <c r="V59" s="21" t="str">
        <f t="shared" ca="1" si="7"/>
        <v>20221205</v>
      </c>
      <c r="Z59" s="29" t="s">
        <v>798</v>
      </c>
      <c r="AK59" s="6" t="s">
        <v>853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05</v>
      </c>
      <c r="V60" s="21" t="str">
        <f t="shared" ca="1" si="7"/>
        <v>20221205</v>
      </c>
      <c r="Z60" s="6" t="s">
        <v>798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05</v>
      </c>
      <c r="V61" s="21" t="str">
        <f t="shared" ca="1" si="7"/>
        <v>20221205</v>
      </c>
      <c r="Z61" s="29" t="s">
        <v>798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05</v>
      </c>
      <c r="V62" s="21" t="str">
        <f t="shared" ca="1" si="7"/>
        <v>20221205</v>
      </c>
      <c r="Z62" s="6" t="s">
        <v>798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05</v>
      </c>
      <c r="V63" s="21" t="str">
        <f t="shared" ca="1" si="7"/>
        <v>20221205</v>
      </c>
      <c r="Z63" s="29" t="s">
        <v>798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851</v>
      </c>
      <c r="G64" s="17" t="s">
        <v>852</v>
      </c>
      <c r="H64" s="15" t="s">
        <v>14</v>
      </c>
      <c r="I64" s="15" t="s">
        <v>138</v>
      </c>
      <c r="J64" s="54" t="s">
        <v>759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05</v>
      </c>
      <c r="V64" s="21" t="str">
        <f t="shared" ca="1" si="7"/>
        <v>20221205</v>
      </c>
      <c r="Z64" s="6" t="s">
        <v>798</v>
      </c>
      <c r="AK64" s="6" t="s">
        <v>851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05</v>
      </c>
      <c r="V65" s="21" t="str">
        <f t="shared" ref="V65:V128" ca="1" si="15">CONCATENATE(S65,T65,U65)</f>
        <v>20221205</v>
      </c>
      <c r="Z65" s="29" t="s">
        <v>798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05</v>
      </c>
      <c r="V66" s="21" t="str">
        <f t="shared" ca="1" si="15"/>
        <v>20221205</v>
      </c>
      <c r="Z66" s="6" t="s">
        <v>798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05</v>
      </c>
      <c r="V67" s="21" t="str">
        <f t="shared" ca="1" si="15"/>
        <v>20221205</v>
      </c>
      <c r="Z67" s="29" t="s">
        <v>798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05</v>
      </c>
      <c r="V68" s="21" t="str">
        <f t="shared" ca="1" si="15"/>
        <v>20221205</v>
      </c>
      <c r="Z68" s="6" t="s">
        <v>798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05</v>
      </c>
      <c r="V69" s="21" t="str">
        <f t="shared" ca="1" si="15"/>
        <v>20221205</v>
      </c>
      <c r="Z69" s="29" t="s">
        <v>798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05</v>
      </c>
      <c r="V70" s="21" t="str">
        <f t="shared" ca="1" si="15"/>
        <v>20221205</v>
      </c>
      <c r="Z70" s="6" t="s">
        <v>798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05</v>
      </c>
      <c r="V71" s="21" t="str">
        <f t="shared" ca="1" si="15"/>
        <v>20221205</v>
      </c>
      <c r="Z71" s="29" t="s">
        <v>798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05</v>
      </c>
      <c r="V72" s="21" t="str">
        <f t="shared" ca="1" si="15"/>
        <v>20221205</v>
      </c>
      <c r="Z72" s="6" t="s">
        <v>798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05</v>
      </c>
      <c r="V73" s="21" t="str">
        <f t="shared" ca="1" si="15"/>
        <v>20221205</v>
      </c>
      <c r="Z73" s="29" t="s">
        <v>798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05</v>
      </c>
      <c r="V74" s="21" t="str">
        <f t="shared" ca="1" si="15"/>
        <v>20221205</v>
      </c>
      <c r="Z74" s="6" t="s">
        <v>798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05</v>
      </c>
      <c r="V75" s="21" t="str">
        <f t="shared" ca="1" si="15"/>
        <v>20221205</v>
      </c>
      <c r="Z75" s="29" t="s">
        <v>798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05</v>
      </c>
      <c r="V76" s="21" t="str">
        <f t="shared" ca="1" si="15"/>
        <v>20221205</v>
      </c>
      <c r="Z76" s="6" t="s">
        <v>798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05</v>
      </c>
      <c r="V77" s="21" t="str">
        <f t="shared" ca="1" si="15"/>
        <v>20221205</v>
      </c>
      <c r="Z77" s="29" t="s">
        <v>798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05</v>
      </c>
      <c r="V78" s="21" t="str">
        <f t="shared" ca="1" si="15"/>
        <v>20221205</v>
      </c>
      <c r="Z78" s="6" t="s">
        <v>798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05</v>
      </c>
      <c r="V79" s="21" t="str">
        <f t="shared" ca="1" si="15"/>
        <v>20221205</v>
      </c>
      <c r="Z79" s="29" t="s">
        <v>798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05</v>
      </c>
      <c r="V80" s="21" t="str">
        <f t="shared" ca="1" si="15"/>
        <v>20221205</v>
      </c>
      <c r="Z80" s="6" t="s">
        <v>798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05</v>
      </c>
      <c r="V81" s="21" t="str">
        <f t="shared" ca="1" si="15"/>
        <v>20221205</v>
      </c>
      <c r="Z81" s="29" t="s">
        <v>798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836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05</v>
      </c>
      <c r="V82" s="21" t="str">
        <f t="shared" ca="1" si="15"/>
        <v>20221205</v>
      </c>
      <c r="Z82" s="6" t="s">
        <v>798</v>
      </c>
      <c r="AA82" s="6" t="s">
        <v>837</v>
      </c>
      <c r="AB82" s="6" t="s">
        <v>4</v>
      </c>
      <c r="AC82" s="6" t="s">
        <v>838</v>
      </c>
      <c r="AD82" s="6" t="s">
        <v>4</v>
      </c>
      <c r="AE82" s="6" t="s">
        <v>839</v>
      </c>
      <c r="AF82" s="6" t="s">
        <v>4</v>
      </c>
      <c r="AG82" s="6" t="s">
        <v>840</v>
      </c>
      <c r="AH82" s="6" t="s">
        <v>4</v>
      </c>
      <c r="AI82" s="6" t="s">
        <v>841</v>
      </c>
      <c r="AJ82" s="6" t="s">
        <v>4</v>
      </c>
      <c r="AK82" s="6" t="s">
        <v>836</v>
      </c>
      <c r="AM82" s="89">
        <v>44900.598923611113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05</v>
      </c>
      <c r="V83" s="21" t="str">
        <f t="shared" ca="1" si="15"/>
        <v>20221205</v>
      </c>
      <c r="Z83" s="29" t="s">
        <v>798</v>
      </c>
      <c r="AA83" s="6" t="s">
        <v>837</v>
      </c>
      <c r="AB83" s="6" t="s">
        <v>4</v>
      </c>
      <c r="AC83" s="6" t="s">
        <v>842</v>
      </c>
      <c r="AD83" s="6" t="s">
        <v>4</v>
      </c>
      <c r="AE83" s="6" t="s">
        <v>838</v>
      </c>
      <c r="AF83" s="6" t="s">
        <v>4</v>
      </c>
      <c r="AG83" s="6" t="s">
        <v>839</v>
      </c>
      <c r="AH83" s="6" t="s">
        <v>4</v>
      </c>
      <c r="AI83" s="6" t="s">
        <v>840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05</v>
      </c>
      <c r="V84" s="21" t="str">
        <f t="shared" ca="1" si="15"/>
        <v>20221205</v>
      </c>
      <c r="Z84" s="6" t="s">
        <v>798</v>
      </c>
      <c r="AA84" s="6" t="s">
        <v>837</v>
      </c>
      <c r="AB84" s="6" t="s">
        <v>4</v>
      </c>
      <c r="AC84" s="6" t="s">
        <v>842</v>
      </c>
      <c r="AD84" s="6" t="s">
        <v>4</v>
      </c>
      <c r="AE84" s="6" t="s">
        <v>839</v>
      </c>
      <c r="AF84" s="6" t="s">
        <v>4</v>
      </c>
      <c r="AG84" s="6" t="s">
        <v>840</v>
      </c>
      <c r="AH84" s="6" t="s">
        <v>4</v>
      </c>
      <c r="AI84" s="6" t="s">
        <v>843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05</v>
      </c>
      <c r="V85" s="21" t="str">
        <f t="shared" ca="1" si="15"/>
        <v>20221205</v>
      </c>
      <c r="Z85" s="29" t="s">
        <v>798</v>
      </c>
      <c r="AA85" s="6" t="s">
        <v>837</v>
      </c>
      <c r="AB85" s="6" t="s">
        <v>4</v>
      </c>
      <c r="AC85" s="6" t="s">
        <v>842</v>
      </c>
      <c r="AD85" s="6" t="s">
        <v>4</v>
      </c>
      <c r="AE85" s="6" t="s">
        <v>838</v>
      </c>
      <c r="AF85" s="6" t="s">
        <v>4</v>
      </c>
      <c r="AG85" s="6" t="s">
        <v>839</v>
      </c>
      <c r="AH85" s="6" t="s">
        <v>4</v>
      </c>
      <c r="AI85" s="6" t="s">
        <v>840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05</v>
      </c>
      <c r="V86" s="21" t="str">
        <f t="shared" ca="1" si="15"/>
        <v>20221205</v>
      </c>
      <c r="Z86" s="6" t="s">
        <v>798</v>
      </c>
      <c r="AA86" s="6" t="s">
        <v>837</v>
      </c>
      <c r="AB86" s="6" t="s">
        <v>4</v>
      </c>
      <c r="AC86" s="6" t="s">
        <v>842</v>
      </c>
      <c r="AD86" s="6" t="s">
        <v>4</v>
      </c>
      <c r="AE86" s="6" t="s">
        <v>838</v>
      </c>
      <c r="AF86" s="6" t="s">
        <v>4</v>
      </c>
      <c r="AG86" s="6" t="s">
        <v>839</v>
      </c>
      <c r="AH86" s="6" t="s">
        <v>4</v>
      </c>
      <c r="AI86" s="6" t="s">
        <v>840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05</v>
      </c>
      <c r="V87" s="21" t="str">
        <f t="shared" ca="1" si="15"/>
        <v>20221205</v>
      </c>
      <c r="Z87" s="29" t="s">
        <v>798</v>
      </c>
      <c r="AA87" s="6" t="s">
        <v>842</v>
      </c>
      <c r="AB87" s="6" t="s">
        <v>4</v>
      </c>
      <c r="AC87" s="6" t="s">
        <v>839</v>
      </c>
      <c r="AD87" s="6" t="s">
        <v>4</v>
      </c>
      <c r="AE87" s="6" t="s">
        <v>840</v>
      </c>
      <c r="AF87" s="6" t="s">
        <v>4</v>
      </c>
      <c r="AG87" s="6" t="s">
        <v>843</v>
      </c>
      <c r="AH87" s="6" t="s">
        <v>4</v>
      </c>
      <c r="AI87" s="6" t="s">
        <v>844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05</v>
      </c>
      <c r="V88" s="21" t="str">
        <f t="shared" ca="1" si="15"/>
        <v>20221205</v>
      </c>
      <c r="Z88" s="6" t="s">
        <v>798</v>
      </c>
      <c r="AA88" s="6" t="s">
        <v>842</v>
      </c>
      <c r="AB88" s="6" t="s">
        <v>4</v>
      </c>
      <c r="AC88" s="6" t="s">
        <v>839</v>
      </c>
      <c r="AD88" s="6" t="s">
        <v>4</v>
      </c>
      <c r="AE88" s="6" t="s">
        <v>840</v>
      </c>
      <c r="AF88" s="6" t="s">
        <v>4</v>
      </c>
      <c r="AG88" s="6" t="s">
        <v>843</v>
      </c>
      <c r="AH88" s="6" t="s">
        <v>4</v>
      </c>
      <c r="AI88" s="6" t="s">
        <v>844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845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05</v>
      </c>
      <c r="V89" s="21" t="str">
        <f t="shared" ca="1" si="15"/>
        <v>20221205</v>
      </c>
      <c r="Z89" s="29" t="s">
        <v>798</v>
      </c>
      <c r="AA89" s="6" t="s">
        <v>837</v>
      </c>
      <c r="AB89" s="6" t="s">
        <v>4</v>
      </c>
      <c r="AC89" s="6" t="s">
        <v>842</v>
      </c>
      <c r="AD89" s="6" t="s">
        <v>4</v>
      </c>
      <c r="AE89" s="6" t="s">
        <v>838</v>
      </c>
      <c r="AF89" s="6" t="s">
        <v>4</v>
      </c>
      <c r="AG89" s="6" t="s">
        <v>839</v>
      </c>
      <c r="AH89" s="6" t="s">
        <v>4</v>
      </c>
      <c r="AI89" s="6" t="s">
        <v>840</v>
      </c>
      <c r="AJ89" s="6" t="s">
        <v>4</v>
      </c>
      <c r="AK89" s="6" t="s">
        <v>845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05</v>
      </c>
      <c r="V90" s="21" t="str">
        <f t="shared" ca="1" si="15"/>
        <v>20221205</v>
      </c>
      <c r="Z90" s="6" t="s">
        <v>798</v>
      </c>
      <c r="AA90" s="6" t="s">
        <v>837</v>
      </c>
      <c r="AB90" s="6" t="s">
        <v>4</v>
      </c>
      <c r="AC90" s="6" t="s">
        <v>842</v>
      </c>
      <c r="AD90" s="6" t="s">
        <v>4</v>
      </c>
      <c r="AE90" s="6" t="s">
        <v>838</v>
      </c>
      <c r="AF90" s="6" t="s">
        <v>4</v>
      </c>
      <c r="AG90" s="6" t="s">
        <v>839</v>
      </c>
      <c r="AH90" s="6" t="s">
        <v>4</v>
      </c>
      <c r="AI90" s="6" t="s">
        <v>840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05</v>
      </c>
      <c r="V91" s="21" t="str">
        <f t="shared" ca="1" si="15"/>
        <v>20221205</v>
      </c>
      <c r="Z91" s="29" t="s">
        <v>798</v>
      </c>
      <c r="AA91" s="6" t="s">
        <v>842</v>
      </c>
      <c r="AB91" s="6" t="s">
        <v>4</v>
      </c>
      <c r="AC91" s="6" t="s">
        <v>839</v>
      </c>
      <c r="AD91" s="6" t="s">
        <v>4</v>
      </c>
      <c r="AE91" s="6" t="s">
        <v>840</v>
      </c>
      <c r="AF91" s="6" t="s">
        <v>4</v>
      </c>
      <c r="AG91" s="6" t="s">
        <v>843</v>
      </c>
      <c r="AH91" s="6" t="s">
        <v>4</v>
      </c>
      <c r="AI91" s="6" t="s">
        <v>844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05</v>
      </c>
      <c r="V92" s="21" t="str">
        <f t="shared" ca="1" si="15"/>
        <v>20221205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05</v>
      </c>
      <c r="V93" s="21" t="str">
        <f t="shared" ca="1" si="15"/>
        <v>20221205</v>
      </c>
      <c r="Z93" s="29" t="s">
        <v>798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05</v>
      </c>
      <c r="V94" s="21" t="str">
        <f t="shared" ca="1" si="15"/>
        <v>20221205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05</v>
      </c>
      <c r="V95" s="21" t="str">
        <f t="shared" ca="1" si="15"/>
        <v>20221205</v>
      </c>
      <c r="Z95" s="29" t="s">
        <v>798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05</v>
      </c>
      <c r="V96" s="21" t="str">
        <f t="shared" ca="1" si="15"/>
        <v>20221205</v>
      </c>
      <c r="Z96" s="6" t="s">
        <v>798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05</v>
      </c>
      <c r="V97" s="21" t="str">
        <f t="shared" ca="1" si="15"/>
        <v>20221205</v>
      </c>
      <c r="Z97" s="29" t="s">
        <v>798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05</v>
      </c>
      <c r="V98" s="21" t="str">
        <f t="shared" ca="1" si="15"/>
        <v>20221205</v>
      </c>
      <c r="Z98" s="6" t="s">
        <v>798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05</v>
      </c>
      <c r="V99" s="21" t="str">
        <f t="shared" ca="1" si="15"/>
        <v>20221205</v>
      </c>
      <c r="Z99" s="29" t="s">
        <v>798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799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05</v>
      </c>
      <c r="V100" s="21" t="str">
        <f t="shared" ca="1" si="15"/>
        <v>20221205</v>
      </c>
      <c r="Z100" s="6" t="s">
        <v>798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05</v>
      </c>
      <c r="V101" s="21" t="str">
        <f t="shared" ca="1" si="15"/>
        <v>20221205</v>
      </c>
      <c r="Z101" s="29" t="s">
        <v>798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05</v>
      </c>
      <c r="V102" s="21" t="str">
        <f t="shared" ca="1" si="15"/>
        <v>20221205</v>
      </c>
      <c r="Z102" s="6" t="s">
        <v>798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05</v>
      </c>
      <c r="V103" s="21" t="str">
        <f t="shared" ca="1" si="15"/>
        <v>20221205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851</v>
      </c>
      <c r="G104" s="17" t="s">
        <v>852</v>
      </c>
      <c r="H104" s="6" t="s">
        <v>14</v>
      </c>
      <c r="I104" s="15" t="s">
        <v>424</v>
      </c>
      <c r="J104" s="55" t="s">
        <v>759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05</v>
      </c>
      <c r="V104" s="21" t="str">
        <f t="shared" ca="1" si="15"/>
        <v>20221205</v>
      </c>
      <c r="Z104" s="6" t="s">
        <v>798</v>
      </c>
      <c r="AK104" s="6" t="s">
        <v>851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05</v>
      </c>
      <c r="V105" s="21" t="str">
        <f t="shared" ca="1" si="15"/>
        <v>20221205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812</v>
      </c>
      <c r="B106" s="62">
        <v>200030</v>
      </c>
      <c r="C106" s="42" t="s">
        <v>813</v>
      </c>
      <c r="D106" s="15" t="s">
        <v>814</v>
      </c>
      <c r="E106" s="42" t="s">
        <v>815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816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05</v>
      </c>
      <c r="V106" s="21" t="str">
        <f t="shared" ca="1" si="15"/>
        <v>20221205</v>
      </c>
      <c r="Z106" s="6" t="s">
        <v>798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05</v>
      </c>
      <c r="V107" s="21" t="str">
        <f t="shared" ca="1" si="15"/>
        <v>20221205</v>
      </c>
      <c r="Z107" s="29" t="s">
        <v>798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05</v>
      </c>
      <c r="V108" s="21" t="str">
        <f t="shared" ca="1" si="15"/>
        <v>20221205</v>
      </c>
      <c r="Z108" s="6" t="s">
        <v>798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05</v>
      </c>
      <c r="V109" s="21" t="str">
        <f t="shared" ca="1" si="15"/>
        <v>20221205</v>
      </c>
      <c r="Z109" s="29" t="s">
        <v>798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05</v>
      </c>
      <c r="V110" s="21" t="str">
        <f t="shared" ca="1" si="15"/>
        <v>20221205</v>
      </c>
      <c r="Z110" s="6" t="s">
        <v>798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05</v>
      </c>
      <c r="V111" s="21" t="str">
        <f t="shared" ca="1" si="15"/>
        <v>20221205</v>
      </c>
      <c r="Z111" s="29" t="s">
        <v>798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05</v>
      </c>
      <c r="V112" s="21" t="str">
        <f t="shared" ca="1" si="15"/>
        <v>20221205</v>
      </c>
      <c r="Z112" s="6" t="s">
        <v>798</v>
      </c>
      <c r="AK112" s="6" t="s">
        <v>708</v>
      </c>
    </row>
    <row r="113" spans="1:37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05</v>
      </c>
      <c r="V113" s="21" t="str">
        <f t="shared" ca="1" si="15"/>
        <v>20221205</v>
      </c>
      <c r="Z113" s="29" t="s">
        <v>798</v>
      </c>
      <c r="AK113" s="6" t="s">
        <v>708</v>
      </c>
    </row>
    <row r="114" spans="1:37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05</v>
      </c>
      <c r="V114" s="21" t="str">
        <f t="shared" ca="1" si="15"/>
        <v>20221205</v>
      </c>
      <c r="Z114" s="6" t="s">
        <v>798</v>
      </c>
      <c r="AK114" s="6" t="s">
        <v>708</v>
      </c>
    </row>
    <row r="115" spans="1:37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05</v>
      </c>
      <c r="V115" s="21" t="str">
        <f t="shared" ca="1" si="15"/>
        <v>20221205</v>
      </c>
      <c r="Z115" s="29" t="s">
        <v>798</v>
      </c>
      <c r="AK115" s="6" t="s">
        <v>708</v>
      </c>
    </row>
    <row r="116" spans="1:37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05</v>
      </c>
      <c r="V116" s="21" t="str">
        <f t="shared" ca="1" si="15"/>
        <v>20221205</v>
      </c>
      <c r="Z116" s="6" t="s">
        <v>798</v>
      </c>
    </row>
    <row r="117" spans="1:37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05</v>
      </c>
      <c r="V117" s="21" t="str">
        <f t="shared" ca="1" si="15"/>
        <v>20221205</v>
      </c>
      <c r="Z117" s="29" t="s">
        <v>798</v>
      </c>
    </row>
    <row r="118" spans="1:37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819</v>
      </c>
      <c r="G118" s="17" t="s">
        <v>820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05</v>
      </c>
      <c r="V118" s="21" t="str">
        <f t="shared" ca="1" si="15"/>
        <v>20221205</v>
      </c>
      <c r="Z118" s="6" t="s">
        <v>798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819</v>
      </c>
    </row>
    <row r="119" spans="1:37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819</v>
      </c>
      <c r="G119" s="17" t="s">
        <v>820</v>
      </c>
      <c r="H119" s="6" t="s">
        <v>14</v>
      </c>
      <c r="I119" s="6" t="s">
        <v>19</v>
      </c>
      <c r="J119" s="55" t="s">
        <v>759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05</v>
      </c>
      <c r="V119" s="21" t="str">
        <f t="shared" ca="1" si="15"/>
        <v>20221205</v>
      </c>
      <c r="Z119" s="29" t="s">
        <v>798</v>
      </c>
      <c r="AK119" s="6" t="s">
        <v>819</v>
      </c>
    </row>
    <row r="120" spans="1:37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05</v>
      </c>
      <c r="V120" s="21" t="str">
        <f t="shared" ca="1" si="15"/>
        <v>20221205</v>
      </c>
      <c r="Z120" s="6" t="s">
        <v>798</v>
      </c>
      <c r="AK120" s="6" t="s">
        <v>193</v>
      </c>
    </row>
    <row r="121" spans="1:37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05</v>
      </c>
      <c r="V121" s="21" t="str">
        <f t="shared" ca="1" si="15"/>
        <v>20221205</v>
      </c>
      <c r="Z121" s="29" t="s">
        <v>798</v>
      </c>
      <c r="AK121" s="6" t="s">
        <v>671</v>
      </c>
    </row>
    <row r="122" spans="1:37" ht="16.350000000000001" customHeight="1" x14ac:dyDescent="0.2">
      <c r="A122" s="25" t="s">
        <v>201</v>
      </c>
      <c r="B122" s="61" t="s">
        <v>849</v>
      </c>
      <c r="C122" s="6" t="s">
        <v>196</v>
      </c>
      <c r="D122" s="15" t="s">
        <v>161</v>
      </c>
      <c r="E122" s="6" t="s">
        <v>10</v>
      </c>
      <c r="F122" s="31" t="s">
        <v>819</v>
      </c>
      <c r="G122" s="17" t="s">
        <v>820</v>
      </c>
      <c r="H122" s="6" t="s">
        <v>14</v>
      </c>
      <c r="I122" s="6" t="s">
        <v>13</v>
      </c>
      <c r="J122" s="55" t="s">
        <v>850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05</v>
      </c>
      <c r="V122" s="21" t="str">
        <f t="shared" ca="1" si="15"/>
        <v>20221205</v>
      </c>
      <c r="Z122" s="6" t="s">
        <v>798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819</v>
      </c>
    </row>
    <row r="123" spans="1:37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754</v>
      </c>
      <c r="G123" s="17" t="s">
        <v>753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05</v>
      </c>
      <c r="V123" s="21" t="str">
        <f t="shared" ca="1" si="15"/>
        <v>20221205</v>
      </c>
      <c r="Z123" s="29" t="s">
        <v>798</v>
      </c>
      <c r="AK123" s="6" t="s">
        <v>754</v>
      </c>
    </row>
    <row r="124" spans="1:37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754</v>
      </c>
      <c r="G124" s="17" t="s">
        <v>753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05</v>
      </c>
      <c r="V124" s="21" t="str">
        <f t="shared" ca="1" si="15"/>
        <v>20221205</v>
      </c>
      <c r="Z124" s="6" t="s">
        <v>798</v>
      </c>
      <c r="AK124" s="6" t="s">
        <v>754</v>
      </c>
    </row>
    <row r="125" spans="1:37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819</v>
      </c>
      <c r="G125" s="17" t="s">
        <v>820</v>
      </c>
      <c r="H125" s="88" t="s">
        <v>14</v>
      </c>
      <c r="I125" s="6" t="s">
        <v>19</v>
      </c>
      <c r="J125" s="55" t="s">
        <v>759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05</v>
      </c>
      <c r="V125" s="21" t="str">
        <f t="shared" ca="1" si="15"/>
        <v>20221205</v>
      </c>
      <c r="Z125" s="29" t="s">
        <v>798</v>
      </c>
      <c r="AK125" s="6" t="s">
        <v>819</v>
      </c>
    </row>
    <row r="126" spans="1:37" ht="16.350000000000001" customHeight="1" x14ac:dyDescent="0.2">
      <c r="A126" s="25" t="s">
        <v>211</v>
      </c>
      <c r="B126" s="53" t="s">
        <v>763</v>
      </c>
      <c r="C126" s="6" t="s">
        <v>247</v>
      </c>
      <c r="D126" s="15" t="s">
        <v>161</v>
      </c>
      <c r="E126" s="6" t="s">
        <v>235</v>
      </c>
      <c r="F126" s="27" t="s">
        <v>765</v>
      </c>
      <c r="G126" s="17" t="s">
        <v>764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05</v>
      </c>
      <c r="V126" s="21" t="str">
        <f t="shared" ca="1" si="15"/>
        <v>20221205</v>
      </c>
      <c r="Z126" s="6" t="s">
        <v>798</v>
      </c>
      <c r="AK126" s="6" t="s">
        <v>765</v>
      </c>
    </row>
    <row r="127" spans="1:37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05</v>
      </c>
      <c r="V127" s="21" t="str">
        <f t="shared" ca="1" si="15"/>
        <v>20221205</v>
      </c>
      <c r="Z127" s="29" t="s">
        <v>798</v>
      </c>
      <c r="AK127" s="6" t="s">
        <v>709</v>
      </c>
    </row>
    <row r="128" spans="1:37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05</v>
      </c>
      <c r="V128" s="21" t="str">
        <f t="shared" ca="1" si="15"/>
        <v>20221205</v>
      </c>
      <c r="Z128" s="6" t="s">
        <v>798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05</v>
      </c>
      <c r="V129" s="21" t="str">
        <f t="shared" ref="V129:V170" ca="1" si="23">CONCATENATE(S129,T129,U129)</f>
        <v>20221205</v>
      </c>
      <c r="Z129" s="29" t="s">
        <v>798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05</v>
      </c>
      <c r="V130" s="21" t="str">
        <f t="shared" ca="1" si="23"/>
        <v>20221205</v>
      </c>
      <c r="Z130" s="6" t="s">
        <v>798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05</v>
      </c>
      <c r="V131" s="21" t="str">
        <f t="shared" ca="1" si="23"/>
        <v>20221205</v>
      </c>
      <c r="Z131" s="29" t="s">
        <v>798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05</v>
      </c>
      <c r="V132" s="21" t="str">
        <f t="shared" ca="1" si="23"/>
        <v>20221205</v>
      </c>
      <c r="Z132" s="6" t="s">
        <v>798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05</v>
      </c>
      <c r="V133" s="21" t="str">
        <f t="shared" ca="1" si="23"/>
        <v>20221205</v>
      </c>
      <c r="Z133" s="29" t="s">
        <v>798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05</v>
      </c>
      <c r="V134" s="21" t="str">
        <f t="shared" ca="1" si="23"/>
        <v>20221205</v>
      </c>
      <c r="Z134" s="6" t="s">
        <v>798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05</v>
      </c>
      <c r="V135" s="21" t="str">
        <f t="shared" ca="1" si="23"/>
        <v>20221205</v>
      </c>
      <c r="Z135" s="29" t="s">
        <v>798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05</v>
      </c>
      <c r="V136" s="21" t="str">
        <f t="shared" ca="1" si="23"/>
        <v>20221205</v>
      </c>
      <c r="Z136" s="6" t="s">
        <v>798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05</v>
      </c>
      <c r="V137" s="21" t="str">
        <f t="shared" ca="1" si="23"/>
        <v>20221205</v>
      </c>
      <c r="Z137" s="29" t="s">
        <v>798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05</v>
      </c>
      <c r="V138" s="21" t="str">
        <f t="shared" ca="1" si="23"/>
        <v>20221205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05</v>
      </c>
      <c r="V139" s="21" t="str">
        <f t="shared" ca="1" si="23"/>
        <v>20221205</v>
      </c>
      <c r="Z139" s="29" t="s">
        <v>798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05</v>
      </c>
      <c r="V140" s="21" t="str">
        <f t="shared" ca="1" si="23"/>
        <v>20221205</v>
      </c>
      <c r="Z140" s="6" t="s">
        <v>798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05</v>
      </c>
      <c r="V141" s="21" t="str">
        <f t="shared" ca="1" si="23"/>
        <v>20221205</v>
      </c>
      <c r="Z141" s="29" t="s">
        <v>798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05</v>
      </c>
      <c r="V142" s="21" t="str">
        <f t="shared" ca="1" si="23"/>
        <v>20221205</v>
      </c>
      <c r="Z142" s="6" t="s">
        <v>798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05</v>
      </c>
      <c r="V143" s="21" t="str">
        <f t="shared" ca="1" si="23"/>
        <v>20221205</v>
      </c>
      <c r="Z143" s="29" t="s">
        <v>798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05</v>
      </c>
      <c r="V144" s="21" t="str">
        <f t="shared" ca="1" si="23"/>
        <v>20221205</v>
      </c>
      <c r="Z144" s="6" t="s">
        <v>798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05</v>
      </c>
      <c r="V145" s="21" t="str">
        <f t="shared" ca="1" si="23"/>
        <v>20221205</v>
      </c>
      <c r="Z145" s="29" t="s">
        <v>798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05</v>
      </c>
      <c r="V146" s="21" t="str">
        <f t="shared" ca="1" si="23"/>
        <v>20221205</v>
      </c>
      <c r="Z146" s="6" t="s">
        <v>798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05</v>
      </c>
      <c r="V147" s="21" t="str">
        <f t="shared" ca="1" si="23"/>
        <v>20221205</v>
      </c>
      <c r="Z147" s="29" t="s">
        <v>798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05</v>
      </c>
      <c r="V148" s="21" t="str">
        <f t="shared" ca="1" si="23"/>
        <v>20221205</v>
      </c>
      <c r="Z148" s="6" t="s">
        <v>798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05</v>
      </c>
      <c r="V149" s="21" t="str">
        <f t="shared" ca="1" si="23"/>
        <v>20221205</v>
      </c>
      <c r="Z149" s="29" t="s">
        <v>798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05</v>
      </c>
      <c r="V150" s="21" t="str">
        <f t="shared" ca="1" si="23"/>
        <v>20221205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05</v>
      </c>
      <c r="V151" s="21" t="str">
        <f t="shared" ca="1" si="23"/>
        <v>20221205</v>
      </c>
      <c r="Z151" s="29" t="s">
        <v>798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05</v>
      </c>
      <c r="V152" s="21" t="str">
        <f t="shared" ca="1" si="23"/>
        <v>20221205</v>
      </c>
      <c r="Z152" s="6" t="s">
        <v>798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05</v>
      </c>
      <c r="V153" s="21" t="str">
        <f t="shared" ca="1" si="23"/>
        <v>20221205</v>
      </c>
      <c r="Z153" s="29" t="s">
        <v>798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05</v>
      </c>
      <c r="V154" s="21" t="str">
        <f t="shared" ca="1" si="23"/>
        <v>20221205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05</v>
      </c>
      <c r="V155" s="21" t="str">
        <f t="shared" ca="1" si="23"/>
        <v>20221205</v>
      </c>
      <c r="Z155" s="29" t="s">
        <v>798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05</v>
      </c>
      <c r="V156" s="21" t="str">
        <f t="shared" ca="1" si="23"/>
        <v>20221205</v>
      </c>
      <c r="Z156" s="6" t="s">
        <v>798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05</v>
      </c>
      <c r="V157" s="21" t="str">
        <f t="shared" ca="1" si="23"/>
        <v>20221205</v>
      </c>
      <c r="Z157" s="29" t="s">
        <v>798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05</v>
      </c>
      <c r="V158" s="21" t="str">
        <f t="shared" ca="1" si="23"/>
        <v>20221205</v>
      </c>
      <c r="Z158" s="6" t="s">
        <v>798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05</v>
      </c>
      <c r="V159" s="21" t="str">
        <f t="shared" ca="1" si="23"/>
        <v>20221205</v>
      </c>
      <c r="Z159" s="29" t="s">
        <v>798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05</v>
      </c>
      <c r="V160" s="21" t="str">
        <f t="shared" ca="1" si="23"/>
        <v>20221205</v>
      </c>
      <c r="Z160" s="6" t="s">
        <v>798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05</v>
      </c>
      <c r="V161" s="21" t="str">
        <f t="shared" ca="1" si="23"/>
        <v>20221205</v>
      </c>
      <c r="Z161" s="29" t="s">
        <v>798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758</v>
      </c>
      <c r="G162" s="17" t="s">
        <v>760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05</v>
      </c>
      <c r="V162" s="21" t="str">
        <f t="shared" ca="1" si="23"/>
        <v>20221205</v>
      </c>
      <c r="Z162" s="6" t="s">
        <v>798</v>
      </c>
      <c r="AK162" s="6" t="s">
        <v>758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05</v>
      </c>
      <c r="V163" s="21" t="str">
        <f t="shared" ca="1" si="23"/>
        <v>20221205</v>
      </c>
      <c r="Z163" s="29" t="s">
        <v>798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765</v>
      </c>
      <c r="G164" s="17" t="s">
        <v>764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05</v>
      </c>
      <c r="V164" s="21" t="str">
        <f t="shared" ca="1" si="23"/>
        <v>20221205</v>
      </c>
      <c r="Z164" s="6" t="s">
        <v>798</v>
      </c>
      <c r="AK164" s="6" t="s">
        <v>765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765</v>
      </c>
      <c r="G165" s="17" t="s">
        <v>764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05</v>
      </c>
      <c r="V165" s="21" t="str">
        <f t="shared" ca="1" si="23"/>
        <v>20221205</v>
      </c>
      <c r="Z165" s="29" t="s">
        <v>798</v>
      </c>
      <c r="AK165" s="6" t="s">
        <v>765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05</v>
      </c>
      <c r="V166" s="21" t="str">
        <f t="shared" ca="1" si="23"/>
        <v>20221205</v>
      </c>
      <c r="Z166" s="6" t="s">
        <v>798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758</v>
      </c>
      <c r="G167" s="17" t="s">
        <v>760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05</v>
      </c>
      <c r="V167" s="21" t="str">
        <f t="shared" ca="1" si="23"/>
        <v>20221205</v>
      </c>
      <c r="Z167" s="29" t="s">
        <v>798</v>
      </c>
      <c r="AK167" s="6" t="s">
        <v>758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05</v>
      </c>
      <c r="V168" s="21" t="str">
        <f t="shared" ca="1" si="23"/>
        <v>20221205</v>
      </c>
      <c r="Z168" s="6" t="s">
        <v>798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758</v>
      </c>
      <c r="G169" s="17" t="s">
        <v>760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05</v>
      </c>
      <c r="V169" s="21" t="str">
        <f t="shared" ca="1" si="23"/>
        <v>20221205</v>
      </c>
      <c r="Z169" s="29" t="s">
        <v>798</v>
      </c>
      <c r="AK169" s="6" t="s">
        <v>758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05</v>
      </c>
      <c r="V170" s="21" t="str">
        <f t="shared" ca="1" si="23"/>
        <v>20221205</v>
      </c>
      <c r="Z170" s="6" t="s">
        <v>798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05</v>
      </c>
      <c r="V171" s="21" t="str">
        <f t="shared" ref="V171:V222" ca="1" si="28">CONCATENATE(S171,T171,U171)</f>
        <v>20221205</v>
      </c>
      <c r="Z171" s="29" t="s">
        <v>798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05</v>
      </c>
      <c r="V172" s="21" t="str">
        <f t="shared" ca="1" si="28"/>
        <v>20221205</v>
      </c>
      <c r="Z172" s="6" t="s">
        <v>798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05</v>
      </c>
      <c r="V173" s="21" t="str">
        <f t="shared" ca="1" si="28"/>
        <v>20221205</v>
      </c>
      <c r="Z173" s="29" t="s">
        <v>798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05</v>
      </c>
      <c r="V174" s="21" t="str">
        <f t="shared" ca="1" si="28"/>
        <v>20221205</v>
      </c>
      <c r="Z174" s="6" t="s">
        <v>798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05</v>
      </c>
      <c r="V175" s="21" t="str">
        <f t="shared" ca="1" si="28"/>
        <v>20221205</v>
      </c>
      <c r="Z175" s="29" t="s">
        <v>798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05</v>
      </c>
      <c r="V176" s="21" t="str">
        <f t="shared" ca="1" si="28"/>
        <v>20221205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05</v>
      </c>
      <c r="V177" s="21" t="str">
        <f t="shared" ca="1" si="28"/>
        <v>20221205</v>
      </c>
      <c r="Z177" s="29" t="s">
        <v>798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05</v>
      </c>
      <c r="V178" s="21" t="str">
        <f t="shared" ca="1" si="28"/>
        <v>20221205</v>
      </c>
      <c r="Z178" s="6" t="s">
        <v>798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05</v>
      </c>
      <c r="V179" s="21" t="str">
        <f t="shared" ca="1" si="28"/>
        <v>20221205</v>
      </c>
      <c r="Z179" s="29" t="s">
        <v>798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05</v>
      </c>
      <c r="V180" s="21" t="str">
        <f t="shared" ca="1" si="28"/>
        <v>20221205</v>
      </c>
      <c r="Z180" s="6" t="s">
        <v>798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05</v>
      </c>
      <c r="V181" s="21" t="str">
        <f t="shared" ca="1" si="28"/>
        <v>20221205</v>
      </c>
      <c r="Z181" s="29" t="s">
        <v>798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05</v>
      </c>
      <c r="V182" s="21" t="str">
        <f t="shared" ca="1" si="28"/>
        <v>20221205</v>
      </c>
      <c r="Z182" s="6" t="s">
        <v>798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05</v>
      </c>
      <c r="V183" s="21" t="str">
        <f t="shared" ca="1" si="28"/>
        <v>20221205</v>
      </c>
      <c r="Z183" s="29" t="s">
        <v>798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05</v>
      </c>
      <c r="V184" s="21" t="str">
        <f t="shared" ca="1" si="28"/>
        <v>20221205</v>
      </c>
      <c r="Z184" s="6" t="s">
        <v>798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05</v>
      </c>
      <c r="V185" s="21" t="str">
        <f t="shared" ca="1" si="28"/>
        <v>20221205</v>
      </c>
      <c r="Z185" s="29" t="s">
        <v>798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05</v>
      </c>
      <c r="V186" s="21" t="str">
        <f t="shared" ca="1" si="28"/>
        <v>20221205</v>
      </c>
      <c r="Z186" s="6" t="s">
        <v>798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05</v>
      </c>
      <c r="V187" s="21" t="str">
        <f t="shared" ca="1" si="28"/>
        <v>20221205</v>
      </c>
      <c r="Z187" s="29" t="s">
        <v>798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05</v>
      </c>
      <c r="V188" s="21" t="str">
        <f t="shared" ca="1" si="28"/>
        <v>20221205</v>
      </c>
      <c r="Z188" s="6" t="s">
        <v>798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05</v>
      </c>
      <c r="V189" s="21" t="str">
        <f t="shared" ca="1" si="28"/>
        <v>20221205</v>
      </c>
      <c r="Z189" s="29" t="s">
        <v>798</v>
      </c>
    </row>
    <row r="190" spans="1:26" ht="16.350000000000001" customHeight="1" x14ac:dyDescent="0.2">
      <c r="A190" s="34" t="s">
        <v>803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804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05</v>
      </c>
      <c r="V190" s="21" t="str">
        <f t="shared" ca="1" si="28"/>
        <v>20221205</v>
      </c>
      <c r="Z190" s="6" t="s">
        <v>798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05</v>
      </c>
      <c r="V191" s="21" t="str">
        <f t="shared" ca="1" si="28"/>
        <v>20221205</v>
      </c>
      <c r="Z191" s="29" t="s">
        <v>798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05</v>
      </c>
      <c r="V192" s="21" t="str">
        <f t="shared" ca="1" si="28"/>
        <v>20221205</v>
      </c>
      <c r="Z192" s="6" t="s">
        <v>798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05</v>
      </c>
      <c r="V193" s="21" t="str">
        <f t="shared" ca="1" si="28"/>
        <v>20221205</v>
      </c>
      <c r="Z193" s="29" t="s">
        <v>798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05</v>
      </c>
      <c r="V194" s="21" t="str">
        <f t="shared" ca="1" si="28"/>
        <v>20221205</v>
      </c>
      <c r="Z194" s="6" t="s">
        <v>798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05</v>
      </c>
      <c r="V195" s="21" t="str">
        <f t="shared" ca="1" si="28"/>
        <v>20221205</v>
      </c>
      <c r="Z195" s="29" t="s">
        <v>798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05</v>
      </c>
      <c r="V196" s="21" t="str">
        <f t="shared" ca="1" si="28"/>
        <v>20221205</v>
      </c>
      <c r="Z196" s="6" t="s">
        <v>798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05</v>
      </c>
      <c r="V197" s="21" t="str">
        <f t="shared" ca="1" si="28"/>
        <v>20221205</v>
      </c>
      <c r="Z197" s="29" t="s">
        <v>798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05</v>
      </c>
      <c r="V198" s="21" t="str">
        <f t="shared" ca="1" si="28"/>
        <v>20221205</v>
      </c>
      <c r="Z198" s="6" t="s">
        <v>798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05</v>
      </c>
      <c r="V199" s="21" t="str">
        <f t="shared" ca="1" si="28"/>
        <v>20221205</v>
      </c>
      <c r="Z199" s="29" t="s">
        <v>798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05</v>
      </c>
      <c r="V200" s="21" t="str">
        <f t="shared" ca="1" si="28"/>
        <v>20221205</v>
      </c>
      <c r="Z200" s="6" t="s">
        <v>798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05</v>
      </c>
      <c r="V201" s="21" t="str">
        <f t="shared" ca="1" si="28"/>
        <v>20221205</v>
      </c>
      <c r="Z201" s="29" t="s">
        <v>798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05</v>
      </c>
      <c r="V202" s="21" t="str">
        <f t="shared" ca="1" si="28"/>
        <v>20221205</v>
      </c>
      <c r="Z202" s="6" t="s">
        <v>798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05</v>
      </c>
      <c r="V203" s="21" t="str">
        <f t="shared" ca="1" si="28"/>
        <v>20221205</v>
      </c>
      <c r="Z203" s="29" t="s">
        <v>798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05</v>
      </c>
      <c r="V204" s="21" t="str">
        <f t="shared" ca="1" si="28"/>
        <v>20221205</v>
      </c>
      <c r="Z204" s="6" t="s">
        <v>798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05</v>
      </c>
      <c r="V205" s="21" t="str">
        <f t="shared" ca="1" si="28"/>
        <v>20221205</v>
      </c>
      <c r="Z205" s="29" t="s">
        <v>798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05</v>
      </c>
      <c r="V206" s="21" t="str">
        <f t="shared" ca="1" si="28"/>
        <v>20221205</v>
      </c>
      <c r="Z206" s="6" t="s">
        <v>798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05</v>
      </c>
      <c r="V207" s="21" t="str">
        <f t="shared" ca="1" si="28"/>
        <v>20221205</v>
      </c>
      <c r="Z207" s="29" t="s">
        <v>798</v>
      </c>
      <c r="AK207" s="6" t="s">
        <v>711</v>
      </c>
    </row>
    <row r="208" spans="1:37" ht="16.350000000000001" customHeight="1" x14ac:dyDescent="0.2">
      <c r="A208" s="34" t="s">
        <v>809</v>
      </c>
      <c r="B208" s="66">
        <v>5271731</v>
      </c>
      <c r="C208" s="35" t="s">
        <v>810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811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05</v>
      </c>
      <c r="V208" s="21" t="str">
        <f t="shared" ca="1" si="28"/>
        <v>20221205</v>
      </c>
      <c r="Z208" s="6" t="s">
        <v>798</v>
      </c>
    </row>
    <row r="209" spans="1:37" ht="16.350000000000001" customHeight="1" x14ac:dyDescent="0.2">
      <c r="A209" s="14" t="s">
        <v>384</v>
      </c>
      <c r="B209" s="59">
        <v>1025320</v>
      </c>
      <c r="C209" s="15" t="s">
        <v>385</v>
      </c>
      <c r="D209" s="15" t="s">
        <v>161</v>
      </c>
      <c r="E209" s="32" t="s">
        <v>22</v>
      </c>
      <c r="F209" s="33" t="s">
        <v>758</v>
      </c>
      <c r="G209" s="17" t="s">
        <v>760</v>
      </c>
      <c r="H209" s="15" t="s">
        <v>14</v>
      </c>
      <c r="I209" s="15" t="s">
        <v>13</v>
      </c>
      <c r="J209" s="54" t="s">
        <v>759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05</v>
      </c>
      <c r="V209" s="21" t="str">
        <f t="shared" ca="1" si="28"/>
        <v>20221205</v>
      </c>
      <c r="Z209" s="81" t="s">
        <v>798</v>
      </c>
      <c r="AK209" s="6" t="s">
        <v>758</v>
      </c>
    </row>
    <row r="210" spans="1:37" ht="16.350000000000001" customHeight="1" x14ac:dyDescent="0.2">
      <c r="A210" s="34" t="s">
        <v>805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806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05</v>
      </c>
      <c r="V210" s="21" t="str">
        <f t="shared" ca="1" si="28"/>
        <v>20221205</v>
      </c>
      <c r="Z210" s="6" t="s">
        <v>798</v>
      </c>
    </row>
    <row r="211" spans="1:37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05</v>
      </c>
      <c r="V211" s="21" t="str">
        <f t="shared" ca="1" si="28"/>
        <v>20221205</v>
      </c>
      <c r="Z211" s="29" t="s">
        <v>798</v>
      </c>
    </row>
    <row r="212" spans="1:37" ht="16.350000000000001" hidden="1" customHeight="1" x14ac:dyDescent="0.2">
      <c r="A212" s="34" t="s">
        <v>756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>
        <v>44844</v>
      </c>
      <c r="G212" s="17" t="s">
        <v>757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05</v>
      </c>
      <c r="V212" s="21" t="str">
        <f t="shared" ca="1" si="28"/>
        <v>20221205</v>
      </c>
      <c r="Z212" s="6" t="s">
        <v>650</v>
      </c>
      <c r="AK212" s="6">
        <v>44844</v>
      </c>
    </row>
    <row r="213" spans="1:37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758</v>
      </c>
      <c r="G213" s="17" t="s">
        <v>760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05</v>
      </c>
      <c r="V213" s="21" t="str">
        <f t="shared" ca="1" si="28"/>
        <v>20221205</v>
      </c>
      <c r="Z213" s="29" t="s">
        <v>650</v>
      </c>
      <c r="AK213" s="6" t="s">
        <v>758</v>
      </c>
    </row>
    <row r="214" spans="1:37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05</v>
      </c>
      <c r="V214" s="21" t="str">
        <f t="shared" ca="1" si="28"/>
        <v>20221205</v>
      </c>
      <c r="Z214" s="6" t="s">
        <v>798</v>
      </c>
      <c r="AK214" s="6" t="s">
        <v>415</v>
      </c>
    </row>
    <row r="215" spans="1:37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05</v>
      </c>
      <c r="V215" s="21" t="str">
        <f t="shared" ca="1" si="28"/>
        <v>20221205</v>
      </c>
      <c r="Z215" s="29" t="s">
        <v>798</v>
      </c>
      <c r="AK215" s="6" t="s">
        <v>687</v>
      </c>
    </row>
    <row r="216" spans="1:37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05</v>
      </c>
      <c r="V216" s="21" t="str">
        <f t="shared" ca="1" si="28"/>
        <v>20221205</v>
      </c>
      <c r="Z216" s="6" t="s">
        <v>798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7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05</v>
      </c>
      <c r="V217" s="21" t="str">
        <f t="shared" ca="1" si="28"/>
        <v>20221205</v>
      </c>
      <c r="Z217" s="29" t="s">
        <v>798</v>
      </c>
      <c r="AK217" s="6" t="s">
        <v>720</v>
      </c>
    </row>
    <row r="218" spans="1:37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05</v>
      </c>
      <c r="V218" s="21" t="str">
        <f t="shared" ca="1" si="28"/>
        <v>20221205</v>
      </c>
      <c r="Z218" s="6" t="s">
        <v>798</v>
      </c>
      <c r="AK218" s="6" t="s">
        <v>720</v>
      </c>
    </row>
    <row r="219" spans="1:37" ht="16.350000000000001" customHeight="1" x14ac:dyDescent="0.2">
      <c r="A219" s="34" t="s">
        <v>766</v>
      </c>
      <c r="B219" s="67" t="s">
        <v>767</v>
      </c>
      <c r="C219" s="35" t="s">
        <v>768</v>
      </c>
      <c r="D219" s="15" t="s">
        <v>161</v>
      </c>
      <c r="E219" s="35" t="s">
        <v>22</v>
      </c>
      <c r="F219" s="36" t="s">
        <v>769</v>
      </c>
      <c r="G219" s="37" t="s">
        <v>770</v>
      </c>
      <c r="H219" s="35" t="s">
        <v>14</v>
      </c>
      <c r="I219" s="35" t="s">
        <v>19</v>
      </c>
      <c r="J219" s="58" t="s">
        <v>782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05</v>
      </c>
      <c r="V219" s="21" t="str">
        <f t="shared" ca="1" si="28"/>
        <v>20221205</v>
      </c>
      <c r="Z219" s="29" t="s">
        <v>798</v>
      </c>
      <c r="AK219" s="6" t="s">
        <v>769</v>
      </c>
    </row>
    <row r="220" spans="1:37" ht="16.350000000000001" hidden="1" customHeight="1" x14ac:dyDescent="0.2">
      <c r="A220" s="14" t="s">
        <v>771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783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05</v>
      </c>
      <c r="V220" s="21" t="str">
        <f t="shared" ca="1" si="28"/>
        <v>20221205</v>
      </c>
      <c r="Z220" s="6" t="s">
        <v>650</v>
      </c>
      <c r="AK220" s="6" t="s">
        <v>577</v>
      </c>
    </row>
    <row r="221" spans="1:37" ht="16.350000000000001" hidden="1" customHeight="1" x14ac:dyDescent="0.2">
      <c r="A221" s="14" t="s">
        <v>212</v>
      </c>
      <c r="B221" s="60" t="s">
        <v>763</v>
      </c>
      <c r="C221" s="15" t="s">
        <v>248</v>
      </c>
      <c r="D221" s="15" t="s">
        <v>161</v>
      </c>
      <c r="E221" s="15" t="s">
        <v>235</v>
      </c>
      <c r="F221" s="33" t="s">
        <v>765</v>
      </c>
      <c r="G221" s="17" t="s">
        <v>764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05</v>
      </c>
      <c r="V221" s="21" t="str">
        <f t="shared" ca="1" si="28"/>
        <v>20221205</v>
      </c>
      <c r="Z221" s="29" t="s">
        <v>650</v>
      </c>
      <c r="AK221" s="6" t="s">
        <v>765</v>
      </c>
    </row>
    <row r="222" spans="1:37" ht="16.350000000000001" customHeight="1" x14ac:dyDescent="0.2">
      <c r="A222" s="34" t="s">
        <v>773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774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05</v>
      </c>
      <c r="V222" s="21" t="str">
        <f t="shared" ca="1" si="28"/>
        <v>20221205</v>
      </c>
      <c r="Z222" s="6" t="s">
        <v>798</v>
      </c>
    </row>
    <row r="223" spans="1:37" ht="16.350000000000001" customHeight="1" x14ac:dyDescent="0.2">
      <c r="A223" s="34" t="s">
        <v>775</v>
      </c>
      <c r="B223" s="67" t="s">
        <v>776</v>
      </c>
      <c r="C223" s="35" t="s">
        <v>777</v>
      </c>
      <c r="D223" s="15" t="s">
        <v>161</v>
      </c>
      <c r="E223" s="35" t="s">
        <v>22</v>
      </c>
      <c r="F223" s="36">
        <v>44875</v>
      </c>
      <c r="G223" s="37" t="s">
        <v>774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05</v>
      </c>
      <c r="V223" s="21" t="str">
        <f t="shared" ref="V223:V239" ca="1" si="40">CONCATENATE(S223,T223,U223)</f>
        <v>20221205</v>
      </c>
      <c r="Z223" s="29" t="s">
        <v>798</v>
      </c>
    </row>
    <row r="224" spans="1:37" ht="16.350000000000001" customHeight="1" x14ac:dyDescent="0.2">
      <c r="A224" s="34" t="s">
        <v>778</v>
      </c>
      <c r="B224" s="67" t="s">
        <v>779</v>
      </c>
      <c r="C224" s="35" t="s">
        <v>780</v>
      </c>
      <c r="D224" s="15" t="s">
        <v>161</v>
      </c>
      <c r="E224" s="35" t="s">
        <v>22</v>
      </c>
      <c r="F224" s="36" t="s">
        <v>781</v>
      </c>
      <c r="G224" s="37" t="s">
        <v>774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05</v>
      </c>
      <c r="V224" s="21" t="str">
        <f t="shared" ca="1" si="40"/>
        <v>20221205</v>
      </c>
      <c r="Z224" s="6" t="s">
        <v>798</v>
      </c>
      <c r="AK224" s="6" t="s">
        <v>781</v>
      </c>
    </row>
    <row r="225" spans="1:37" ht="16.350000000000001" customHeight="1" x14ac:dyDescent="0.2">
      <c r="A225" s="34" t="s">
        <v>846</v>
      </c>
      <c r="B225" s="66" t="s">
        <v>847</v>
      </c>
      <c r="C225" s="35" t="s">
        <v>848</v>
      </c>
      <c r="D225" s="15" t="s">
        <v>161</v>
      </c>
      <c r="E225" s="35" t="s">
        <v>10</v>
      </c>
      <c r="F225" s="36" t="s">
        <v>819</v>
      </c>
      <c r="G225" s="37" t="s">
        <v>820</v>
      </c>
      <c r="H225" s="35" t="s">
        <v>14</v>
      </c>
      <c r="I225" s="35" t="s">
        <v>13</v>
      </c>
      <c r="J225" s="58" t="s">
        <v>759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05</v>
      </c>
      <c r="V225" s="21" t="str">
        <f t="shared" ca="1" si="40"/>
        <v>20221205</v>
      </c>
      <c r="Z225" s="29" t="s">
        <v>798</v>
      </c>
      <c r="AK225" s="6" t="s">
        <v>819</v>
      </c>
    </row>
    <row r="226" spans="1:37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818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05</v>
      </c>
      <c r="V226" s="21" t="str">
        <f t="shared" ca="1" si="40"/>
        <v>20221205</v>
      </c>
      <c r="Z226" s="6" t="s">
        <v>798</v>
      </c>
      <c r="AK226" s="6" t="s">
        <v>188</v>
      </c>
    </row>
    <row r="227" spans="1:37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05</v>
      </c>
      <c r="V227" s="21" t="str">
        <f t="shared" ca="1" si="40"/>
        <v>20221205</v>
      </c>
      <c r="Z227" s="29" t="s">
        <v>798</v>
      </c>
    </row>
    <row r="228" spans="1:37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05</v>
      </c>
      <c r="V228" s="21" t="str">
        <f t="shared" ca="1" si="40"/>
        <v>20221205</v>
      </c>
      <c r="Z228" s="6" t="s">
        <v>798</v>
      </c>
      <c r="AK228" s="6" t="s">
        <v>642</v>
      </c>
    </row>
    <row r="229" spans="1:37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05</v>
      </c>
      <c r="V229" s="21" t="str">
        <f t="shared" ca="1" si="40"/>
        <v>20221205</v>
      </c>
      <c r="Z229" s="29" t="s">
        <v>798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7" ht="16.350000000000001" customHeight="1" x14ac:dyDescent="0.2">
      <c r="A230" s="14" t="s">
        <v>486</v>
      </c>
      <c r="B230" s="59" t="s">
        <v>786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05</v>
      </c>
      <c r="V230" s="21" t="str">
        <f t="shared" ca="1" si="40"/>
        <v>20221205</v>
      </c>
      <c r="Z230" s="6" t="s">
        <v>798</v>
      </c>
      <c r="AK230" s="6" t="s">
        <v>646</v>
      </c>
    </row>
    <row r="231" spans="1:37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05</v>
      </c>
      <c r="V231" s="21" t="str">
        <f t="shared" ca="1" si="40"/>
        <v>20221205</v>
      </c>
      <c r="Z231" s="29" t="s">
        <v>798</v>
      </c>
      <c r="AK231" s="6" t="s">
        <v>509</v>
      </c>
    </row>
    <row r="232" spans="1:37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05</v>
      </c>
      <c r="V232" s="21" t="str">
        <f t="shared" ca="1" si="40"/>
        <v>20221205</v>
      </c>
      <c r="Z232" s="6" t="s">
        <v>798</v>
      </c>
      <c r="AK232" s="6" t="s">
        <v>509</v>
      </c>
    </row>
    <row r="233" spans="1:37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05</v>
      </c>
      <c r="V233" s="21" t="str">
        <f t="shared" ca="1" si="40"/>
        <v>20221205</v>
      </c>
      <c r="Z233" s="29" t="s">
        <v>650</v>
      </c>
      <c r="AK233" s="6">
        <v>44197</v>
      </c>
    </row>
    <row r="234" spans="1:37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05</v>
      </c>
      <c r="V234" s="21" t="str">
        <f t="shared" ca="1" si="40"/>
        <v>20221205</v>
      </c>
      <c r="Z234" s="6" t="s">
        <v>798</v>
      </c>
      <c r="AK234" s="6" t="s">
        <v>515</v>
      </c>
    </row>
    <row r="235" spans="1:37" ht="16.350000000000001" customHeight="1" x14ac:dyDescent="0.2">
      <c r="A235" s="14" t="s">
        <v>750</v>
      </c>
      <c r="B235" s="59">
        <v>58900535</v>
      </c>
      <c r="C235" s="15" t="s">
        <v>751</v>
      </c>
      <c r="D235" s="15" t="s">
        <v>467</v>
      </c>
      <c r="E235" s="15" t="s">
        <v>429</v>
      </c>
      <c r="F235" s="16" t="s">
        <v>577</v>
      </c>
      <c r="G235" s="37" t="s">
        <v>577</v>
      </c>
      <c r="H235" s="15" t="s">
        <v>577</v>
      </c>
      <c r="I235" s="15" t="s">
        <v>23</v>
      </c>
      <c r="J235" s="54" t="s">
        <v>752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05</v>
      </c>
      <c r="V235" s="21" t="str">
        <f t="shared" ca="1" si="40"/>
        <v>20221205</v>
      </c>
      <c r="Z235" s="29" t="s">
        <v>798</v>
      </c>
      <c r="AK235" s="6" t="s">
        <v>577</v>
      </c>
    </row>
    <row r="236" spans="1:37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05</v>
      </c>
      <c r="V236" s="21" t="str">
        <f t="shared" ca="1" si="40"/>
        <v>20221205</v>
      </c>
      <c r="Z236" s="6" t="s">
        <v>798</v>
      </c>
      <c r="AK236" s="6" t="s">
        <v>665</v>
      </c>
    </row>
    <row r="237" spans="1:37" ht="16.350000000000001" customHeight="1" x14ac:dyDescent="0.2">
      <c r="A237" s="34" t="s">
        <v>807</v>
      </c>
      <c r="B237" s="67" t="s">
        <v>4</v>
      </c>
      <c r="C237" s="35" t="s">
        <v>807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808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05</v>
      </c>
      <c r="V237" s="21" t="str">
        <f t="shared" ca="1" si="40"/>
        <v>20221205</v>
      </c>
      <c r="Z237" s="29" t="s">
        <v>798</v>
      </c>
    </row>
    <row r="238" spans="1:37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05</v>
      </c>
      <c r="V238" s="21" t="str">
        <f t="shared" ca="1" si="40"/>
        <v>20221205</v>
      </c>
      <c r="Z238" s="6" t="s">
        <v>626</v>
      </c>
      <c r="AK238" s="6" t="s">
        <v>577</v>
      </c>
    </row>
    <row r="239" spans="1:37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05</v>
      </c>
      <c r="V239" s="21" t="str">
        <f t="shared" ca="1" si="40"/>
        <v>20221205</v>
      </c>
      <c r="Z239" s="29" t="s">
        <v>798</v>
      </c>
      <c r="AK239" s="6" t="s">
        <v>660</v>
      </c>
    </row>
    <row r="240" spans="1:37" ht="16.350000000000001" hidden="1" customHeight="1" x14ac:dyDescent="0.2">
      <c r="A240" s="34" t="s">
        <v>800</v>
      </c>
      <c r="B240" s="67" t="s">
        <v>800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4" si="41">CONCATENATE(M240,N240,O240)</f>
        <v>#VALUE!</v>
      </c>
      <c r="Q240" s="20"/>
      <c r="R240" s="18" t="s">
        <v>27</v>
      </c>
      <c r="S240" s="18">
        <f t="shared" ref="S240:S284" ca="1" si="42">YEAR(TODAY())</f>
        <v>2022</v>
      </c>
      <c r="T240" s="21">
        <f t="shared" ref="T240:T282" ca="1" si="43">IF(MONTH(TODAY())&lt;10,CONCATENATE(0,MONTH(TODAY())),MONTH(TODAY()))</f>
        <v>12</v>
      </c>
      <c r="U240" s="21" t="str">
        <f t="shared" ref="U240:U282" ca="1" si="44">IF(DAY(TODAY())&lt;10,CONCATENATE(0,DAY(TODAY())),DAY(TODAY()))</f>
        <v>05</v>
      </c>
      <c r="V240" s="21" t="str">
        <f t="shared" ref="V240:V284" ca="1" si="45">CONCATENATE(S240,T240,U240)</f>
        <v>20221205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05</v>
      </c>
      <c r="V241" s="21" t="str">
        <f t="shared" ca="1" si="45"/>
        <v>20221205</v>
      </c>
      <c r="Z241" s="29" t="s">
        <v>798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05</v>
      </c>
      <c r="V242" s="21" t="str">
        <f t="shared" ca="1" si="45"/>
        <v>20221205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817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05</v>
      </c>
      <c r="V243" s="21" t="str">
        <f t="shared" ca="1" si="45"/>
        <v>20221205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05</v>
      </c>
      <c r="V244" s="21" t="str">
        <f t="shared" ca="1" si="45"/>
        <v>20221205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05</v>
      </c>
      <c r="V245" s="21" t="str">
        <f t="shared" ca="1" si="45"/>
        <v>20221205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05</v>
      </c>
      <c r="V246" s="21" t="str">
        <f t="shared" ca="1" si="45"/>
        <v>20221205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05</v>
      </c>
      <c r="V247" s="21" t="str">
        <f t="shared" ca="1" si="45"/>
        <v>20221205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802</v>
      </c>
      <c r="B248" s="67" t="s">
        <v>802</v>
      </c>
      <c r="C248" s="35" t="s">
        <v>428</v>
      </c>
      <c r="D248" s="15" t="s">
        <v>428</v>
      </c>
      <c r="E248" s="35" t="s">
        <v>429</v>
      </c>
      <c r="F248" s="36" t="s">
        <v>801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05</v>
      </c>
      <c r="V248" s="21" t="str">
        <f t="shared" ca="1" si="45"/>
        <v>20221205</v>
      </c>
      <c r="Z248" s="6" t="s">
        <v>798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801</v>
      </c>
    </row>
    <row r="249" spans="1:39" ht="16.350000000000001" customHeight="1" x14ac:dyDescent="0.2">
      <c r="A249" s="14" t="s">
        <v>859</v>
      </c>
      <c r="B249" s="59">
        <v>132104330</v>
      </c>
      <c r="C249" s="15" t="s">
        <v>860</v>
      </c>
      <c r="D249" s="15" t="s">
        <v>481</v>
      </c>
      <c r="E249" s="15" t="s">
        <v>429</v>
      </c>
      <c r="F249" s="16" t="s">
        <v>851</v>
      </c>
      <c r="G249" s="17" t="s">
        <v>852</v>
      </c>
      <c r="H249" s="15" t="s">
        <v>14</v>
      </c>
      <c r="I249" s="15" t="s">
        <v>23</v>
      </c>
      <c r="J249" s="54" t="s">
        <v>868</v>
      </c>
      <c r="L249" s="18" t="s">
        <v>2</v>
      </c>
      <c r="M249" s="19">
        <f t="shared" ref="M249:M306" si="46">YEAR(G249)</f>
        <v>2024</v>
      </c>
      <c r="N249" s="19">
        <f t="shared" ref="N249:N306" si="47">IF(MONTH(G249)&lt;10,CONCATENATE(0,MONTH(G249)),MONTH(G249))</f>
        <v>12</v>
      </c>
      <c r="O249" s="19" t="str">
        <f t="shared" ref="O249:O306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05</v>
      </c>
      <c r="V249" s="21" t="str">
        <f t="shared" ca="1" si="45"/>
        <v>20221205</v>
      </c>
      <c r="Z249" s="6" t="s">
        <v>798</v>
      </c>
      <c r="AA249" s="6" t="s">
        <v>861</v>
      </c>
      <c r="AB249" s="6" t="s">
        <v>861</v>
      </c>
      <c r="AC249" s="6" t="s">
        <v>862</v>
      </c>
      <c r="AD249" s="6" t="s">
        <v>862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44900.476724537039</v>
      </c>
      <c r="AM249" s="89"/>
    </row>
    <row r="250" spans="1:39" ht="16.350000000000001" customHeight="1" x14ac:dyDescent="0.2">
      <c r="A250" s="14" t="s">
        <v>863</v>
      </c>
      <c r="B250" s="59" t="s">
        <v>799</v>
      </c>
      <c r="C250" s="15" t="s">
        <v>864</v>
      </c>
      <c r="D250" s="15" t="s">
        <v>481</v>
      </c>
      <c r="E250" s="15" t="s">
        <v>429</v>
      </c>
      <c r="F250" s="16" t="s">
        <v>851</v>
      </c>
      <c r="G250" s="17" t="s">
        <v>852</v>
      </c>
      <c r="H250" s="15" t="s">
        <v>14</v>
      </c>
      <c r="I250" s="15" t="s">
        <v>12</v>
      </c>
      <c r="J250" s="54" t="s">
        <v>869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05</v>
      </c>
      <c r="V250" s="21" t="str">
        <f t="shared" ca="1" si="45"/>
        <v>20221205</v>
      </c>
      <c r="Z250" s="6" t="s">
        <v>798</v>
      </c>
      <c r="AA250" s="6" t="s">
        <v>865</v>
      </c>
      <c r="AB250" s="6" t="s">
        <v>865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44900.473807870374</v>
      </c>
      <c r="AM250" s="89"/>
    </row>
    <row r="251" spans="1:39" ht="16.350000000000001" customHeight="1" x14ac:dyDescent="0.2">
      <c r="A251" s="14" t="s">
        <v>866</v>
      </c>
      <c r="B251" s="59" t="s">
        <v>799</v>
      </c>
      <c r="C251" s="15" t="s">
        <v>864</v>
      </c>
      <c r="D251" s="15" t="s">
        <v>481</v>
      </c>
      <c r="E251" s="15" t="s">
        <v>429</v>
      </c>
      <c r="F251" s="16" t="s">
        <v>851</v>
      </c>
      <c r="G251" s="17" t="s">
        <v>852</v>
      </c>
      <c r="H251" s="15" t="s">
        <v>14</v>
      </c>
      <c r="I251" s="15" t="s">
        <v>12</v>
      </c>
      <c r="J251" s="54" t="s">
        <v>869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05</v>
      </c>
      <c r="V251" s="21" t="str">
        <f t="shared" ca="1" si="45"/>
        <v>20221205</v>
      </c>
      <c r="Z251" s="6" t="s">
        <v>798</v>
      </c>
      <c r="AA251" s="6" t="s">
        <v>865</v>
      </c>
      <c r="AB251" s="6" t="s">
        <v>865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44900.533472222225</v>
      </c>
      <c r="AM251" s="89">
        <v>44900.535057870373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05</v>
      </c>
      <c r="V252" s="21" t="str">
        <f t="shared" ca="1" si="45"/>
        <v>20221205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05</v>
      </c>
      <c r="V253" s="21" t="str">
        <f t="shared" ca="1" si="45"/>
        <v>20221205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05</v>
      </c>
      <c r="V254" s="21" t="str">
        <f t="shared" ca="1" si="45"/>
        <v>20221205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05</v>
      </c>
      <c r="V255" s="21" t="str">
        <f t="shared" ca="1" si="45"/>
        <v>20221205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05</v>
      </c>
      <c r="V256" s="21" t="str">
        <f t="shared" ca="1" si="45"/>
        <v>20221205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05</v>
      </c>
      <c r="V257" s="21" t="str">
        <f t="shared" ca="1" si="45"/>
        <v>20221205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05</v>
      </c>
      <c r="V258" s="21" t="str">
        <f t="shared" ca="1" si="45"/>
        <v>20221205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05</v>
      </c>
      <c r="V259" s="21" t="str">
        <f t="shared" ca="1" si="45"/>
        <v>20221205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05</v>
      </c>
      <c r="V260" s="21" t="str">
        <f t="shared" ca="1" si="45"/>
        <v>20221205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05</v>
      </c>
      <c r="V261" s="21" t="str">
        <f t="shared" ca="1" si="45"/>
        <v>20221205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05</v>
      </c>
      <c r="V262" s="21" t="str">
        <f t="shared" ca="1" si="45"/>
        <v>20221205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05</v>
      </c>
      <c r="V263" s="21" t="str">
        <f t="shared" ca="1" si="45"/>
        <v>20221205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05</v>
      </c>
      <c r="V264" s="21" t="str">
        <f t="shared" ca="1" si="45"/>
        <v>20221205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05</v>
      </c>
      <c r="V265" s="21" t="str">
        <f t="shared" ca="1" si="45"/>
        <v>20221205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05</v>
      </c>
      <c r="V266" s="21" t="str">
        <f t="shared" ca="1" si="45"/>
        <v>20221205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05</v>
      </c>
      <c r="V267" s="21" t="str">
        <f t="shared" ca="1" si="45"/>
        <v>20221205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05</v>
      </c>
      <c r="V268" s="21" t="str">
        <f t="shared" ca="1" si="45"/>
        <v>20221205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05</v>
      </c>
      <c r="V269" s="21" t="str">
        <f t="shared" ca="1" si="45"/>
        <v>20221205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05</v>
      </c>
      <c r="V270" s="21" t="str">
        <f t="shared" ca="1" si="45"/>
        <v>20221205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05</v>
      </c>
      <c r="V271" s="21" t="str">
        <f t="shared" ca="1" si="45"/>
        <v>20221205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05</v>
      </c>
      <c r="V272" s="21" t="str">
        <f t="shared" ca="1" si="45"/>
        <v>20221205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05</v>
      </c>
      <c r="V273" s="21" t="str">
        <f t="shared" ca="1" si="45"/>
        <v>20221205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05</v>
      </c>
      <c r="V274" s="21" t="str">
        <f t="shared" ca="1" si="45"/>
        <v>20221205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05</v>
      </c>
      <c r="V275" s="21" t="str">
        <f t="shared" ca="1" si="45"/>
        <v>20221205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05</v>
      </c>
      <c r="V276" s="21" t="str">
        <f t="shared" ca="1" si="45"/>
        <v>20221205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05</v>
      </c>
      <c r="V277" s="21" t="str">
        <f t="shared" ca="1" si="45"/>
        <v>20221205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05</v>
      </c>
      <c r="V278" s="21" t="str">
        <f t="shared" ca="1" si="45"/>
        <v>20221205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05</v>
      </c>
      <c r="V279" s="21" t="str">
        <f t="shared" ca="1" si="45"/>
        <v>20221205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05</v>
      </c>
      <c r="V280" s="21" t="str">
        <f t="shared" ca="1" si="45"/>
        <v>20221205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05</v>
      </c>
      <c r="V281" s="21" t="str">
        <f t="shared" ca="1" si="45"/>
        <v>20221205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05</v>
      </c>
      <c r="V282" s="21" t="str">
        <f t="shared" ca="1" si="45"/>
        <v>20221205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ref="T283:T346" ca="1" si="49">IF(MONTH(TODAY())&lt;10,CONCATENATE(0,MONTH(TODAY())),MONTH(TODAY()))</f>
        <v>12</v>
      </c>
      <c r="U283" s="21" t="str">
        <f t="shared" ref="U283:U346" ca="1" si="50">IF(DAY(TODAY())&lt;10,CONCATENATE(0,DAY(TODAY())),DAY(TODAY()))</f>
        <v>05</v>
      </c>
      <c r="V283" s="21" t="str">
        <f t="shared" ca="1" si="45"/>
        <v>20221205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9"/>
        <v>12</v>
      </c>
      <c r="U284" s="21" t="str">
        <f t="shared" ca="1" si="50"/>
        <v>05</v>
      </c>
      <c r="V284" s="21" t="str">
        <f t="shared" ca="1" si="45"/>
        <v>20221205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ref="P285:P348" si="51">CONCATENATE(M285,N285,O285)</f>
        <v>19000100</v>
      </c>
      <c r="Q285" s="20"/>
      <c r="R285" s="18" t="s">
        <v>27</v>
      </c>
      <c r="S285" s="18">
        <f t="shared" ref="S285:S348" ca="1" si="52">YEAR(TODAY())</f>
        <v>2022</v>
      </c>
      <c r="T285" s="21">
        <f t="shared" ca="1" si="49"/>
        <v>12</v>
      </c>
      <c r="U285" s="21" t="str">
        <f t="shared" ca="1" si="50"/>
        <v>05</v>
      </c>
      <c r="V285" s="21" t="str">
        <f t="shared" ref="V285:V348" ca="1" si="53">CONCATENATE(S285,T285,U285)</f>
        <v>20221205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05</v>
      </c>
      <c r="V286" s="21" t="str">
        <f t="shared" ca="1" si="53"/>
        <v>20221205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05</v>
      </c>
      <c r="V287" s="21" t="str">
        <f t="shared" ca="1" si="53"/>
        <v>20221205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05</v>
      </c>
      <c r="V288" s="21" t="str">
        <f t="shared" ca="1" si="53"/>
        <v>20221205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05</v>
      </c>
      <c r="V289" s="21" t="str">
        <f t="shared" ca="1" si="53"/>
        <v>20221205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05</v>
      </c>
      <c r="V290" s="21" t="str">
        <f t="shared" ca="1" si="53"/>
        <v>20221205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05</v>
      </c>
      <c r="V291" s="21" t="str">
        <f t="shared" ca="1" si="53"/>
        <v>20221205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05</v>
      </c>
      <c r="V292" s="21" t="str">
        <f t="shared" ca="1" si="53"/>
        <v>20221205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05</v>
      </c>
      <c r="V293" s="21" t="str">
        <f t="shared" ca="1" si="53"/>
        <v>20221205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05</v>
      </c>
      <c r="V294" s="21" t="str">
        <f t="shared" ca="1" si="53"/>
        <v>20221205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05</v>
      </c>
      <c r="V295" s="21" t="str">
        <f t="shared" ca="1" si="53"/>
        <v>20221205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05</v>
      </c>
      <c r="V296" s="21" t="str">
        <f t="shared" ca="1" si="53"/>
        <v>20221205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05</v>
      </c>
      <c r="V297" s="21" t="str">
        <f t="shared" ca="1" si="53"/>
        <v>20221205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05</v>
      </c>
      <c r="V298" s="21" t="str">
        <f t="shared" ca="1" si="53"/>
        <v>20221205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05</v>
      </c>
      <c r="V299" s="21" t="str">
        <f t="shared" ca="1" si="53"/>
        <v>20221205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05</v>
      </c>
      <c r="V300" s="21" t="str">
        <f t="shared" ca="1" si="53"/>
        <v>20221205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05</v>
      </c>
      <c r="V301" s="21" t="str">
        <f t="shared" ca="1" si="53"/>
        <v>20221205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05</v>
      </c>
      <c r="V302" s="21" t="str">
        <f t="shared" ca="1" si="53"/>
        <v>20221205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05</v>
      </c>
      <c r="V303" s="21" t="str">
        <f t="shared" ca="1" si="53"/>
        <v>20221205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05</v>
      </c>
      <c r="V304" s="21" t="str">
        <f t="shared" ca="1" si="53"/>
        <v>20221205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05</v>
      </c>
      <c r="V305" s="21" t="str">
        <f t="shared" ca="1" si="53"/>
        <v>20221205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05</v>
      </c>
      <c r="V306" s="21" t="str">
        <f t="shared" ca="1" si="53"/>
        <v>20221205</v>
      </c>
    </row>
    <row r="307" spans="12:22" ht="16.350000000000001" customHeight="1" x14ac:dyDescent="0.2">
      <c r="L307" s="18" t="s">
        <v>2</v>
      </c>
      <c r="M307" s="19">
        <f t="shared" ref="M307:M360" si="54">YEAR(G307)</f>
        <v>1900</v>
      </c>
      <c r="N307" s="19" t="str">
        <f t="shared" ref="N307:N360" si="55">IF(MONTH(G307)&lt;10,CONCATENATE(0,MONTH(G307)),MONTH(G307))</f>
        <v>01</v>
      </c>
      <c r="O307" s="19" t="str">
        <f t="shared" ref="O307:O360" si="56">IF(DAY(G307)&lt;10,CONCATENATE(0,DAY(G307)),DAY(G307))</f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05</v>
      </c>
      <c r="V307" s="21" t="str">
        <f t="shared" ca="1" si="53"/>
        <v>20221205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05</v>
      </c>
      <c r="V308" s="21" t="str">
        <f t="shared" ca="1" si="53"/>
        <v>20221205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05</v>
      </c>
      <c r="V309" s="21" t="str">
        <f t="shared" ca="1" si="53"/>
        <v>20221205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05</v>
      </c>
      <c r="V310" s="21" t="str">
        <f t="shared" ca="1" si="53"/>
        <v>20221205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05</v>
      </c>
      <c r="V311" s="21" t="str">
        <f t="shared" ca="1" si="53"/>
        <v>20221205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05</v>
      </c>
      <c r="V312" s="21" t="str">
        <f t="shared" ca="1" si="53"/>
        <v>20221205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05</v>
      </c>
      <c r="V313" s="21" t="str">
        <f t="shared" ca="1" si="53"/>
        <v>20221205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05</v>
      </c>
      <c r="V314" s="21" t="str">
        <f t="shared" ca="1" si="53"/>
        <v>20221205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05</v>
      </c>
      <c r="V315" s="21" t="str">
        <f t="shared" ca="1" si="53"/>
        <v>20221205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05</v>
      </c>
      <c r="V316" s="21" t="str">
        <f t="shared" ca="1" si="53"/>
        <v>20221205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05</v>
      </c>
      <c r="V317" s="21" t="str">
        <f t="shared" ca="1" si="53"/>
        <v>20221205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05</v>
      </c>
      <c r="V318" s="21" t="str">
        <f t="shared" ca="1" si="53"/>
        <v>20221205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05</v>
      </c>
      <c r="V319" s="21" t="str">
        <f t="shared" ca="1" si="53"/>
        <v>20221205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05</v>
      </c>
      <c r="V320" s="21" t="str">
        <f t="shared" ca="1" si="53"/>
        <v>20221205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05</v>
      </c>
      <c r="V321" s="21" t="str">
        <f t="shared" ca="1" si="53"/>
        <v>20221205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05</v>
      </c>
      <c r="V322" s="21" t="str">
        <f t="shared" ca="1" si="53"/>
        <v>20221205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05</v>
      </c>
      <c r="V323" s="21" t="str">
        <f t="shared" ca="1" si="53"/>
        <v>20221205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05</v>
      </c>
      <c r="V324" s="21" t="str">
        <f t="shared" ca="1" si="53"/>
        <v>20221205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05</v>
      </c>
      <c r="V325" s="21" t="str">
        <f t="shared" ca="1" si="53"/>
        <v>20221205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05</v>
      </c>
      <c r="V326" s="21" t="str">
        <f t="shared" ca="1" si="53"/>
        <v>20221205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05</v>
      </c>
      <c r="V327" s="21" t="str">
        <f t="shared" ca="1" si="53"/>
        <v>20221205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05</v>
      </c>
      <c r="V328" s="21" t="str">
        <f t="shared" ca="1" si="53"/>
        <v>20221205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05</v>
      </c>
      <c r="V329" s="21" t="str">
        <f t="shared" ca="1" si="53"/>
        <v>20221205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05</v>
      </c>
      <c r="V330" s="21" t="str">
        <f t="shared" ca="1" si="53"/>
        <v>20221205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05</v>
      </c>
      <c r="V331" s="21" t="str">
        <f t="shared" ca="1" si="53"/>
        <v>20221205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05</v>
      </c>
      <c r="V332" s="21" t="str">
        <f t="shared" ca="1" si="53"/>
        <v>20221205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05</v>
      </c>
      <c r="V333" s="21" t="str">
        <f t="shared" ca="1" si="53"/>
        <v>20221205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05</v>
      </c>
      <c r="V334" s="21" t="str">
        <f t="shared" ca="1" si="53"/>
        <v>20221205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05</v>
      </c>
      <c r="V335" s="21" t="str">
        <f t="shared" ca="1" si="53"/>
        <v>20221205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05</v>
      </c>
      <c r="V336" s="21" t="str">
        <f t="shared" ca="1" si="53"/>
        <v>20221205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05</v>
      </c>
      <c r="V337" s="21" t="str">
        <f t="shared" ca="1" si="53"/>
        <v>20221205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05</v>
      </c>
      <c r="V338" s="21" t="str">
        <f t="shared" ca="1" si="53"/>
        <v>20221205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05</v>
      </c>
      <c r="V339" s="21" t="str">
        <f t="shared" ca="1" si="53"/>
        <v>20221205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05</v>
      </c>
      <c r="V340" s="21" t="str">
        <f t="shared" ca="1" si="53"/>
        <v>20221205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05</v>
      </c>
      <c r="V341" s="21" t="str">
        <f t="shared" ca="1" si="53"/>
        <v>20221205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05</v>
      </c>
      <c r="V342" s="21" t="str">
        <f t="shared" ca="1" si="53"/>
        <v>20221205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05</v>
      </c>
      <c r="V343" s="21" t="str">
        <f t="shared" ca="1" si="53"/>
        <v>20221205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05</v>
      </c>
      <c r="V344" s="21" t="str">
        <f t="shared" ca="1" si="53"/>
        <v>20221205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05</v>
      </c>
      <c r="V345" s="21" t="str">
        <f t="shared" ca="1" si="53"/>
        <v>20221205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05</v>
      </c>
      <c r="V346" s="21" t="str">
        <f t="shared" ca="1" si="53"/>
        <v>20221205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ref="T347:T360" ca="1" si="57">IF(MONTH(TODAY())&lt;10,CONCATENATE(0,MONTH(TODAY())),MONTH(TODAY()))</f>
        <v>12</v>
      </c>
      <c r="U347" s="21" t="str">
        <f t="shared" ref="U347:U360" ca="1" si="58">IF(DAY(TODAY())&lt;10,CONCATENATE(0,DAY(TODAY())),DAY(TODAY()))</f>
        <v>05</v>
      </c>
      <c r="V347" s="21" t="str">
        <f t="shared" ca="1" si="53"/>
        <v>20221205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57"/>
        <v>12</v>
      </c>
      <c r="U348" s="21" t="str">
        <f t="shared" ca="1" si="58"/>
        <v>05</v>
      </c>
      <c r="V348" s="21" t="str">
        <f t="shared" ca="1" si="53"/>
        <v>20221205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ref="P349:P360" si="59">CONCATENATE(M349,N349,O349)</f>
        <v>19000100</v>
      </c>
      <c r="Q349" s="20"/>
      <c r="R349" s="18" t="s">
        <v>27</v>
      </c>
      <c r="S349" s="18">
        <f t="shared" ref="S349:S360" ca="1" si="60">YEAR(TODAY())</f>
        <v>2022</v>
      </c>
      <c r="T349" s="21">
        <f t="shared" ca="1" si="57"/>
        <v>12</v>
      </c>
      <c r="U349" s="21" t="str">
        <f t="shared" ca="1" si="58"/>
        <v>05</v>
      </c>
      <c r="V349" s="21" t="str">
        <f t="shared" ref="V349:V360" ca="1" si="61">CONCATENATE(S349,T349,U349)</f>
        <v>20221205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05</v>
      </c>
      <c r="V350" s="21" t="str">
        <f t="shared" ca="1" si="61"/>
        <v>20221205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05</v>
      </c>
      <c r="V351" s="21" t="str">
        <f t="shared" ca="1" si="61"/>
        <v>20221205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05</v>
      </c>
      <c r="V352" s="21" t="str">
        <f t="shared" ca="1" si="61"/>
        <v>20221205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05</v>
      </c>
      <c r="V353" s="21" t="str">
        <f t="shared" ca="1" si="61"/>
        <v>20221205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05</v>
      </c>
      <c r="V354" s="21" t="str">
        <f t="shared" ca="1" si="61"/>
        <v>20221205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05</v>
      </c>
      <c r="V355" s="21" t="str">
        <f t="shared" ca="1" si="61"/>
        <v>20221205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05</v>
      </c>
      <c r="V356" s="21" t="str">
        <f t="shared" ca="1" si="61"/>
        <v>20221205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05</v>
      </c>
      <c r="V357" s="21" t="str">
        <f t="shared" ca="1" si="61"/>
        <v>20221205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05</v>
      </c>
      <c r="V358" s="21" t="str">
        <f t="shared" ca="1" si="61"/>
        <v>20221205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05</v>
      </c>
      <c r="V359" s="21" t="str">
        <f t="shared" ca="1" si="61"/>
        <v>20221205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05</v>
      </c>
      <c r="V360" s="21" t="str">
        <f t="shared" ca="1" si="61"/>
        <v>20221205</v>
      </c>
    </row>
  </sheetData>
  <sheetProtection selectLockedCells="1" sort="0" autoFilter="0" pivotTables="0" selectUnlockedCells="1"/>
  <protectedRanges>
    <protectedRange sqref="A3:J9923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8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2022-12-05T19:29:55Z</dcterms:modified>
</cp:coreProperties>
</file>