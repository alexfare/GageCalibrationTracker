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.fare\OneDrive\AFDrive\OneDrive\!Projects\Programs\Gage Calibration\!Updates\!Formatted\v4.5.6\"/>
    </mc:Choice>
  </mc:AlternateContent>
  <xr:revisionPtr revIDLastSave="0" documentId="13_ncr:1_{7B237696-2862-4F49-9ED9-0615166789F3}" xr6:coauthVersionLast="47" xr6:coauthVersionMax="47" xr10:uidLastSave="{00000000-0000-0000-0000-000000000000}"/>
  <bookViews>
    <workbookView showHorizontalScroll="0" showSheetTabs="0" xWindow="30360" yWindow="2310" windowWidth="20895" windowHeight="11835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Lists!$A$2:$A$5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4" i="41" l="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" i="13"/>
  <c r="I13" i="41" l="1"/>
  <c r="J13" i="41"/>
  <c r="J8" i="41"/>
  <c r="I8" i="41"/>
  <c r="I3" i="41"/>
  <c r="J3" i="41"/>
  <c r="L3" i="41" l="1"/>
  <c r="B30" i="41" s="1"/>
  <c r="K3" i="41"/>
  <c r="B25" i="41" s="1"/>
  <c r="B28" i="41" s="1"/>
  <c r="B37" i="41" l="1"/>
  <c r="B38" i="41" s="1"/>
  <c r="B39" i="41" s="1"/>
</calcChain>
</file>

<file path=xl/sharedStrings.xml><?xml version="1.0" encoding="utf-8"?>
<sst xmlns="http://schemas.openxmlformats.org/spreadsheetml/2006/main" count="283" uniqueCount="212">
  <si>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</si>
  <si>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</si>
  <si>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</si>
  <si>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</si>
  <si>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</si>
  <si>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</si>
  <si>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</si>
  <si>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</si>
  <si>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</si>
  <si>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</si>
  <si>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</si>
  <si>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</si>
  <si>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</si>
  <si>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</si>
  <si>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</si>
  <si>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</si>
  <si>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</si>
  <si>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</si>
  <si>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</si>
  <si>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</si>
  <si>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</si>
  <si>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</si>
  <si>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</si>
  <si>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</si>
  <si>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</si>
  <si>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</si>
  <si>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</si>
  <si>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</si>
  <si>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</si>
  <si>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</si>
  <si>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</si>
  <si>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</si>
  <si>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</si>
  <si>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</si>
  <si>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</si>
  <si>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</si>
  <si>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</si>
  <si>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</si>
  <si>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</si>
  <si>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</si>
  <si>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/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</si>
  <si>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</si>
  <si>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</si>
  <si>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</si>
  <si>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</si>
  <si>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</si>
  <si>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</si>
  <si>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</si>
  <si>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</si>
  <si>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</si>
  <si>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</si>
  <si>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</si>
  <si>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</si>
  <si>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</si>
  <si>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</si>
  <si>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</si>
  <si>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</si>
  <si>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</si>
  <si>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</si>
  <si>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</si>
  <si>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</si>
  <si>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</si>
  <si>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</si>
  <si>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</si>
  <si>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</si>
  <si>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</si>
  <si>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</si>
  <si>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</si>
  <si>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</si>
  <si>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</si>
  <si>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</si>
  <si>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</si>
  <si>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</si>
  <si>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</si>
  <si>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</si>
  <si>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</si>
  <si>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</si>
  <si>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</si>
  <si>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</si>
  <si>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</si>
  <si>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</si>
  <si>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</si>
  <si>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</si>
  <si>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</si>
  <si>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</si>
  <si>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</si>
  <si>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</si>
  <si>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</si>
  <si>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</si>
  <si>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</si>
  <si>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</si>
  <si>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</si>
  <si>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</si>
  <si>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</si>
  <si>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</si>
  <si>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</si>
  <si>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Code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</si>
  <si>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</si>
  <si>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</si>
  <si>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</si>
  <si>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</si>
  <si>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</si>
  <si>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</si>
  <si>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</si>
  <si>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</si>
  <si>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</si>
  <si>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</si>
  <si>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</si>
  <si>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</si>
  <si>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</si>
  <si>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</si>
  <si>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</si>
  <si>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</si>
  <si>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</si>
  <si>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</si>
  <si>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</si>
  <si>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</si>
  <si>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</si>
  <si>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</si>
  <si>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</si>
  <si>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</si>
  <si>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</si>
  <si>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</si>
  <si>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</si>
  <si>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</si>
  <si>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</si>
  <si>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</si>
  <si>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</si>
  <si>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</si>
  <si>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</si>
  <si>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</si>
  <si>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</si>
  <si>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</si>
  <si>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</si>
  <si>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</si>
  <si>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</si>
  <si>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</si>
  <si>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</si>
  <si>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</si>
  <si>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</si>
  <si>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</si>
  <si>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</si>
  <si>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</si>
  <si>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</si>
  <si>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</si>
  <si>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</si>
  <si>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</si>
  <si>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</si>
  <si>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</si>
  <si>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</si>
  <si>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</si>
  <si>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</si>
  <si>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</si>
  <si>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</si>
  <si>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</si>
  <si>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</si>
  <si>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</si>
  <si>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Require Login?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</si>
  <si>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</si>
  <si>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</si>
  <si>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</si>
  <si>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</si>
  <si>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</si>
  <si>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</si>
  <si>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</si>
  <si>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</si>
  <si>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</si>
  <si>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</si>
  <si>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</si>
  <si>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</si>
  <si>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</si>
  <si>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</si>
  <si>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</si>
  <si>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</si>
  <si>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</si>
  <si>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</si>
  <si>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</si>
  <si>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</si>
  <si>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</si>
  <si>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</si>
  <si>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</si>
  <si>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</si>
  <si>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</si>
  <si>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</si>
  <si>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</si>
  <si>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</si>
  <si>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</si>
  <si>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</si>
  <si>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</si>
  <si>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</si>
  <si>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</si>
  <si>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</si>
  <si>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</si>
  <si>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</si>
  <si>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</si>
  <si>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</si>
  <si>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</si>
  <si>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</si>
  <si>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</si>
  <si>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</si>
  <si>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</si>
  <si>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</si>
  <si>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</si>
  <si>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</si>
  <si>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</si>
  <si>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</si>
  <si>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</si>
  <si>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</si>
  <si>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</si>
  <si>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</si>
  <si>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 xml:space="preserve">_x000D_
 | Date: 12/13/2023 6:54:05 AM_x000D_
 User: Alex Fare_x000D_
 Action: Searched | _x000D_
 _x000D_
 | Date: 12/13/2023 6:58:12 AM_x000D_
 User: Alex Fare_x000D_
 Action: Searched | _x000D_
 _x000D_
 | Date: 12/15/2023 8:22:08 AM_x000D_
 User: Alex Fare_x000D_
 Action: Searched | _x000D_
 _x000D_
 | Date: 12/15/2023 8:22:14 AM_x000D_
 User: Alex Fare_x000D_
 Action: Searched | _x000D_
 _x000D_
 | Date: 12/18/2023 7:37:47 AM_x000D_
 User: Alex Fare_x000D_
 Action: Searched | _x000D_
 _x000D_
 | Date: 12/19/2023 11:00:02 AM_x000D_
 User: Alex Fare_x000D_
 Action: Searched | _x000D_
 _x000D_
 | Date: 12/21/2023 8:00:43 AM_x000D_
 User: Alex Fare_x000D_
 Action: Searched | _x000D_
 _x000D_
 | Date: 12/21/2023 8:06:28 AM_x000D_
 User: Alex Fare_x000D_
 Action: Searched | _x000D_
 _x000D_
 | Date: 1/3/2024 6:41:55 AM_x000D_
 User: Alex Fare_x000D_
 Action: Searched | _x000D_
 _x000D_
 | Date: 1/3/2024 6:42:08 AM_x000D_
 User: Alex Fare_x000D_
 Action: Searched | _x000D_
 </t>
  </si>
  <si>
    <t>v4.5.6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</si>
</sst>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6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  <font>
      <b/>
      <sz val="1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14" fontId="8" fillId="4" borderId="4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14" fontId="15" fillId="4" borderId="2" xfId="0" applyNumberFormat="1" applyFont="1" applyFill="1" applyBorder="1" applyAlignment="1">
      <alignment horizontal="center" vertical="center"/>
    </xf>
    <xf numFmtId="14" fontId="1" fillId="6" borderId="1" xfId="0" applyNumberFormat="1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/>
    </xf>
    <xf numFmtId="0" fontId="1" fillId="0" borderId="0" xfId="2" applyAlignment="1">
      <alignment horizontal="center" wrapText="1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5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5" dataDxfId="123" headerRowBorderDxfId="124" tableBorderDxfId="122" totalsRowBorderDxfId="121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ref="G2:G3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Initials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sqref="A1:H1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8" customWidth="1"/>
    <col min="7" max="7" width="17.7109375" style="38" customWidth="1"/>
    <col min="8" max="8" width="15" style="3" bestFit="1" customWidth="1"/>
    <col min="9" max="9" width="20.42578125" style="3" customWidth="1"/>
    <col min="10" max="10" width="20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1" customWidth="1"/>
    <col min="43" max="16384" width="14.5703125" style="1"/>
  </cols>
  <sheetData>
    <row r="1" spans="1:64" ht="60" x14ac:dyDescent="0.2">
      <c r="A1" s="53" t="s">
        <v>0</v>
      </c>
      <c r="B1" s="54"/>
      <c r="C1" s="54"/>
      <c r="D1" s="54"/>
      <c r="E1" s="54"/>
      <c r="F1" s="54"/>
      <c r="G1" s="54"/>
      <c r="H1" s="54"/>
      <c r="I1" s="29">
        <f ca="1">TODAY()</f>
        <v>45294</v>
      </c>
      <c r="J1" s="51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 t="s">
        <v>211</v>
      </c>
      <c r="BL1" s="1" t="s">
        <v>208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23" t="s">
        <v>8</v>
      </c>
      <c r="I2" s="23" t="s">
        <v>9</v>
      </c>
      <c r="J2" s="23" t="s">
        <v>10</v>
      </c>
      <c r="K2" s="26" t="s">
        <v>190</v>
      </c>
      <c r="L2" s="27" t="s">
        <v>191</v>
      </c>
      <c r="M2" s="26" t="s">
        <v>194</v>
      </c>
      <c r="N2" s="26" t="s">
        <v>197</v>
      </c>
      <c r="O2" s="26" t="s">
        <v>11</v>
      </c>
      <c r="P2" s="26" t="s">
        <v>12</v>
      </c>
      <c r="Q2" s="26" t="s">
        <v>13</v>
      </c>
      <c r="R2" s="26" t="s">
        <v>14</v>
      </c>
      <c r="S2" s="26" t="s">
        <v>15</v>
      </c>
      <c r="T2" s="26" t="s">
        <v>16</v>
      </c>
      <c r="U2" s="26" t="s">
        <v>17</v>
      </c>
      <c r="V2" s="26" t="s">
        <v>18</v>
      </c>
      <c r="W2" s="26" t="s">
        <v>19</v>
      </c>
      <c r="X2" s="26" t="s">
        <v>20</v>
      </c>
      <c r="Y2" s="26" t="s">
        <v>21</v>
      </c>
      <c r="Z2" s="28" t="s">
        <v>22</v>
      </c>
      <c r="AA2" s="26" t="s">
        <v>23</v>
      </c>
      <c r="AB2" s="26" t="s">
        <v>24</v>
      </c>
      <c r="AC2" s="26" t="s">
        <v>25</v>
      </c>
      <c r="AD2" s="26" t="s">
        <v>26</v>
      </c>
      <c r="AE2" s="26" t="s">
        <v>27</v>
      </c>
      <c r="AF2" s="26" t="s">
        <v>28</v>
      </c>
      <c r="AG2" s="26" t="s">
        <v>29</v>
      </c>
      <c r="AH2" s="26" t="s">
        <v>30</v>
      </c>
      <c r="AI2" s="26" t="s">
        <v>31</v>
      </c>
      <c r="AJ2" s="26" t="s">
        <v>32</v>
      </c>
      <c r="AK2" s="27" t="s">
        <v>33</v>
      </c>
      <c r="AL2" s="27" t="s">
        <v>34</v>
      </c>
      <c r="AM2" s="27" t="s">
        <v>35</v>
      </c>
      <c r="AN2" s="26" t="s">
        <v>36</v>
      </c>
      <c r="AO2" s="26" t="s">
        <v>107</v>
      </c>
      <c r="AP2" s="32"/>
    </row>
    <row r="3" spans="1:64" s="7" customFormat="1" ht="16.350000000000001" customHeight="1" x14ac:dyDescent="0.2">
      <c r="A3" s="3"/>
      <c r="B3" s="3"/>
      <c r="C3" s="3"/>
      <c r="D3" s="3"/>
      <c r="E3" s="3"/>
      <c r="F3" s="38"/>
      <c r="G3" s="52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4"/>
      <c r="AL3" s="34"/>
      <c r="AM3" s="34"/>
      <c r="AN3" s="33"/>
      <c r="AO3" s="33"/>
      <c r="AP3" s="31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11" name="Range1"/>
  </protectedRanges>
  <dataConsolidate/>
  <mergeCells count="1">
    <mergeCell ref="A1:H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8" hidden="1" customWidth="1"/>
    <col min="7" max="7" width="41.5703125" style="31" customWidth="1"/>
    <col min="8" max="16384" width="14.5703125" style="1"/>
  </cols>
  <sheetData>
    <row r="1" spans="1:7" ht="60" x14ac:dyDescent="0.2">
      <c r="A1" s="53"/>
      <c r="B1" s="54"/>
      <c r="C1" s="54"/>
      <c r="D1" s="54"/>
      <c r="E1" s="54"/>
      <c r="F1" s="54"/>
    </row>
    <row r="2" spans="1:7" s="2" customFormat="1" ht="44.25" customHeight="1" x14ac:dyDescent="0.2">
      <c r="A2" s="23" t="s">
        <v>201</v>
      </c>
      <c r="B2" s="23" t="s">
        <v>202</v>
      </c>
      <c r="C2" s="23" t="s">
        <v>203</v>
      </c>
      <c r="D2" s="23" t="s">
        <v>204</v>
      </c>
      <c r="E2" s="23" t="s">
        <v>11</v>
      </c>
      <c r="F2" s="24" t="s">
        <v>12</v>
      </c>
      <c r="G2" s="32"/>
    </row>
    <row r="3" spans="1:7" s="7" customFormat="1" ht="16.350000000000001" customHeight="1" x14ac:dyDescent="0.2">
      <c r="A3" s="3"/>
      <c r="B3" s="3"/>
      <c r="C3" s="3"/>
      <c r="D3" s="3"/>
      <c r="E3" s="3"/>
      <c r="F3" s="38"/>
      <c r="G3" s="31"/>
    </row>
    <row r="4" spans="1:7" s="7" customFormat="1" ht="16.350000000000001" customHeight="1" x14ac:dyDescent="0.2">
      <c r="A4" s="3"/>
      <c r="B4" s="3"/>
      <c r="C4" s="3"/>
      <c r="D4" s="3"/>
      <c r="E4" s="3"/>
      <c r="F4" s="38"/>
      <c r="G4" s="31"/>
    </row>
    <row r="5" spans="1:7" s="7" customFormat="1" ht="16.350000000000001" customHeight="1" x14ac:dyDescent="0.2">
      <c r="A5" s="3"/>
      <c r="B5" s="3"/>
      <c r="C5" s="3"/>
      <c r="D5" s="3"/>
      <c r="E5" s="3"/>
      <c r="F5" s="38"/>
      <c r="G5" s="31"/>
    </row>
    <row r="6" spans="1:7" s="7" customFormat="1" ht="16.350000000000001" customHeight="1" x14ac:dyDescent="0.2">
      <c r="A6" s="3"/>
      <c r="B6" s="3"/>
      <c r="C6" s="3"/>
      <c r="D6" s="3"/>
      <c r="E6" s="3"/>
      <c r="F6" s="38"/>
      <c r="G6" s="31"/>
    </row>
    <row r="7" spans="1:7" s="7" customFormat="1" ht="16.350000000000001" customHeight="1" x14ac:dyDescent="0.2">
      <c r="A7" s="3"/>
      <c r="B7" s="3"/>
      <c r="C7" s="3"/>
      <c r="D7" s="3"/>
      <c r="E7" s="3"/>
      <c r="F7" s="38"/>
      <c r="G7" s="31"/>
    </row>
    <row r="8" spans="1:7" s="7" customFormat="1" ht="16.350000000000001" customHeight="1" x14ac:dyDescent="0.2">
      <c r="A8" s="3"/>
      <c r="B8" s="3"/>
      <c r="C8" s="3"/>
      <c r="D8" s="3"/>
      <c r="E8" s="3"/>
      <c r="F8" s="38"/>
      <c r="G8" s="31"/>
    </row>
    <row r="9" spans="1:7" s="7" customFormat="1" ht="16.350000000000001" customHeight="1" x14ac:dyDescent="0.2">
      <c r="A9" s="3"/>
      <c r="B9" s="3"/>
      <c r="C9" s="3"/>
      <c r="D9" s="3"/>
      <c r="E9" s="3"/>
      <c r="F9" s="38"/>
      <c r="G9" s="31"/>
    </row>
    <row r="10" spans="1:7" s="7" customFormat="1" ht="16.350000000000001" customHeight="1" x14ac:dyDescent="0.2">
      <c r="A10" s="3"/>
      <c r="B10" s="3"/>
      <c r="C10" s="3"/>
      <c r="D10" s="3"/>
      <c r="E10" s="3"/>
      <c r="F10" s="38"/>
      <c r="G10" s="31"/>
    </row>
    <row r="11" spans="1:7" s="7" customFormat="1" ht="16.350000000000001" customHeight="1" x14ac:dyDescent="0.2">
      <c r="A11" s="3"/>
      <c r="B11" s="3"/>
      <c r="C11" s="3"/>
      <c r="D11" s="3"/>
      <c r="E11" s="3"/>
      <c r="F11" s="38"/>
      <c r="G11" s="31"/>
    </row>
    <row r="12" spans="1:7" s="7" customFormat="1" ht="16.350000000000001" customHeight="1" x14ac:dyDescent="0.2">
      <c r="A12" s="3"/>
      <c r="B12" s="3"/>
      <c r="C12" s="3"/>
      <c r="D12" s="3"/>
      <c r="E12" s="3"/>
      <c r="F12" s="38"/>
      <c r="G12" s="31"/>
    </row>
    <row r="13" spans="1:7" s="7" customFormat="1" ht="16.350000000000001" customHeight="1" x14ac:dyDescent="0.2">
      <c r="A13" s="3"/>
      <c r="B13" s="3"/>
      <c r="C13" s="3"/>
      <c r="D13" s="3"/>
      <c r="E13" s="3"/>
      <c r="F13" s="38"/>
      <c r="G13" s="31"/>
    </row>
    <row r="14" spans="1:7" s="7" customFormat="1" ht="16.350000000000001" customHeight="1" x14ac:dyDescent="0.2">
      <c r="A14" s="3"/>
      <c r="B14" s="3"/>
      <c r="C14" s="3"/>
      <c r="D14" s="3"/>
      <c r="E14" s="3"/>
      <c r="F14" s="38"/>
      <c r="G14" s="31"/>
    </row>
    <row r="15" spans="1:7" s="7" customFormat="1" ht="16.350000000000001" customHeight="1" x14ac:dyDescent="0.2">
      <c r="A15" s="3"/>
      <c r="B15" s="3"/>
      <c r="C15" s="3"/>
      <c r="D15" s="3"/>
      <c r="E15" s="3"/>
      <c r="F15" s="38"/>
      <c r="G15" s="31"/>
    </row>
    <row r="16" spans="1:7" s="7" customFormat="1" ht="16.350000000000001" customHeight="1" x14ac:dyDescent="0.2">
      <c r="A16" s="3"/>
      <c r="B16" s="3"/>
      <c r="C16" s="3"/>
      <c r="D16" s="3"/>
      <c r="E16" s="3"/>
      <c r="F16" s="38"/>
      <c r="G16" s="31"/>
    </row>
    <row r="17" spans="1:7" s="7" customFormat="1" ht="16.350000000000001" customHeight="1" x14ac:dyDescent="0.2">
      <c r="A17" s="3"/>
      <c r="B17" s="3"/>
      <c r="C17" s="3"/>
      <c r="D17" s="3"/>
      <c r="E17" s="3"/>
      <c r="F17" s="38"/>
      <c r="G17" s="31"/>
    </row>
    <row r="18" spans="1:7" s="7" customFormat="1" ht="16.350000000000001" customHeight="1" x14ac:dyDescent="0.2">
      <c r="A18" s="3"/>
      <c r="B18" s="3"/>
      <c r="C18" s="3"/>
      <c r="D18" s="3"/>
      <c r="E18" s="3"/>
      <c r="F18" s="38"/>
      <c r="G18" s="31"/>
    </row>
    <row r="19" spans="1:7" s="7" customFormat="1" ht="16.350000000000001" customHeight="1" x14ac:dyDescent="0.2">
      <c r="A19" s="3"/>
      <c r="B19" s="3"/>
      <c r="C19" s="3"/>
      <c r="D19" s="3"/>
      <c r="E19" s="3"/>
      <c r="F19" s="38"/>
      <c r="G19" s="31"/>
    </row>
    <row r="20" spans="1:7" s="7" customFormat="1" ht="16.350000000000001" customHeight="1" x14ac:dyDescent="0.2">
      <c r="A20" s="3"/>
      <c r="B20" s="3"/>
      <c r="C20" s="3"/>
      <c r="D20" s="3"/>
      <c r="E20" s="3"/>
      <c r="F20" s="38"/>
      <c r="G20" s="31"/>
    </row>
    <row r="21" spans="1:7" s="7" customFormat="1" ht="16.350000000000001" customHeight="1" x14ac:dyDescent="0.2">
      <c r="A21" s="3"/>
      <c r="B21" s="3"/>
      <c r="C21" s="3"/>
      <c r="D21" s="3"/>
      <c r="E21" s="3"/>
      <c r="F21" s="38"/>
      <c r="G21" s="31"/>
    </row>
    <row r="22" spans="1:7" s="7" customFormat="1" ht="16.350000000000001" customHeight="1" x14ac:dyDescent="0.2">
      <c r="A22" s="3"/>
      <c r="B22" s="3"/>
      <c r="C22" s="3"/>
      <c r="D22" s="3"/>
      <c r="E22" s="3"/>
      <c r="F22" s="38"/>
      <c r="G22" s="31"/>
    </row>
    <row r="23" spans="1:7" s="7" customFormat="1" ht="16.350000000000001" customHeight="1" x14ac:dyDescent="0.2">
      <c r="A23" s="3"/>
      <c r="B23" s="3"/>
      <c r="C23" s="3"/>
      <c r="D23" s="3"/>
      <c r="E23" s="3"/>
      <c r="F23" s="38"/>
      <c r="G23" s="31"/>
    </row>
    <row r="24" spans="1:7" s="7" customFormat="1" ht="16.350000000000001" customHeight="1" x14ac:dyDescent="0.2">
      <c r="A24" s="3"/>
      <c r="B24" s="3"/>
      <c r="C24" s="3"/>
      <c r="D24" s="3"/>
      <c r="E24" s="3"/>
      <c r="F24" s="38"/>
      <c r="G24" s="31"/>
    </row>
    <row r="25" spans="1:7" s="7" customFormat="1" ht="16.350000000000001" customHeight="1" x14ac:dyDescent="0.2">
      <c r="A25" s="3"/>
      <c r="B25" s="3"/>
      <c r="C25" s="3"/>
      <c r="D25" s="3"/>
      <c r="E25" s="3"/>
      <c r="F25" s="38"/>
      <c r="G25" s="31"/>
    </row>
    <row r="26" spans="1:7" s="7" customFormat="1" ht="16.350000000000001" customHeight="1" x14ac:dyDescent="0.2">
      <c r="A26" s="3"/>
      <c r="B26" s="3"/>
      <c r="C26" s="3"/>
      <c r="D26" s="3"/>
      <c r="E26" s="3"/>
      <c r="F26" s="38"/>
      <c r="G26" s="31"/>
    </row>
    <row r="27" spans="1:7" s="7" customFormat="1" ht="16.350000000000001" customHeight="1" x14ac:dyDescent="0.2">
      <c r="A27" s="3"/>
      <c r="B27" s="3"/>
      <c r="C27" s="3"/>
      <c r="D27" s="3"/>
      <c r="E27" s="3"/>
      <c r="F27" s="38"/>
      <c r="G27" s="31"/>
    </row>
    <row r="28" spans="1:7" s="7" customFormat="1" ht="16.350000000000001" customHeight="1" x14ac:dyDescent="0.2">
      <c r="A28" s="3"/>
      <c r="B28" s="3"/>
      <c r="C28" s="3"/>
      <c r="D28" s="3"/>
      <c r="E28" s="3"/>
      <c r="F28" s="38"/>
      <c r="G28" s="31"/>
    </row>
    <row r="29" spans="1:7" s="7" customFormat="1" ht="16.350000000000001" customHeight="1" x14ac:dyDescent="0.2">
      <c r="A29" s="3"/>
      <c r="B29" s="3"/>
      <c r="C29" s="3"/>
      <c r="D29" s="3"/>
      <c r="E29" s="3"/>
      <c r="F29" s="38"/>
      <c r="G29" s="31"/>
    </row>
    <row r="30" spans="1:7" s="7" customFormat="1" ht="16.350000000000001" customHeight="1" x14ac:dyDescent="0.2">
      <c r="A30" s="3"/>
      <c r="B30" s="3"/>
      <c r="C30" s="3"/>
      <c r="D30" s="3"/>
      <c r="E30" s="3"/>
      <c r="F30" s="38"/>
      <c r="G30" s="31"/>
    </row>
    <row r="31" spans="1:7" s="7" customFormat="1" ht="16.350000000000001" customHeight="1" x14ac:dyDescent="0.2">
      <c r="A31" s="3"/>
      <c r="B31" s="3"/>
      <c r="C31" s="3"/>
      <c r="D31" s="3"/>
      <c r="E31" s="3"/>
      <c r="F31" s="38"/>
      <c r="G31" s="31"/>
    </row>
    <row r="32" spans="1:7" s="7" customFormat="1" ht="16.350000000000001" customHeight="1" x14ac:dyDescent="0.2">
      <c r="A32" s="3"/>
      <c r="B32" s="3"/>
      <c r="C32" s="3"/>
      <c r="D32" s="3"/>
      <c r="E32" s="3"/>
      <c r="F32" s="38"/>
      <c r="G32" s="31"/>
    </row>
    <row r="33" spans="1:7" s="7" customFormat="1" ht="16.350000000000001" customHeight="1" x14ac:dyDescent="0.2">
      <c r="A33" s="3"/>
      <c r="B33" s="3"/>
      <c r="C33" s="3"/>
      <c r="D33" s="3"/>
      <c r="E33" s="3"/>
      <c r="F33" s="38"/>
      <c r="G33" s="31"/>
    </row>
    <row r="34" spans="1:7" s="7" customFormat="1" ht="16.350000000000001" customHeight="1" x14ac:dyDescent="0.2">
      <c r="A34" s="3"/>
      <c r="B34" s="3"/>
      <c r="C34" s="3"/>
      <c r="D34" s="3"/>
      <c r="E34" s="3"/>
      <c r="F34" s="38"/>
      <c r="G34" s="31"/>
    </row>
    <row r="35" spans="1:7" s="7" customFormat="1" ht="16.350000000000001" customHeight="1" x14ac:dyDescent="0.2">
      <c r="A35" s="3"/>
      <c r="B35" s="3"/>
      <c r="C35" s="3"/>
      <c r="D35" s="3"/>
      <c r="E35" s="3"/>
      <c r="F35" s="38"/>
      <c r="G35" s="31"/>
    </row>
    <row r="36" spans="1:7" s="7" customFormat="1" ht="16.350000000000001" customHeight="1" x14ac:dyDescent="0.2">
      <c r="A36" s="3"/>
      <c r="B36" s="3"/>
      <c r="C36" s="3"/>
      <c r="D36" s="3"/>
      <c r="E36" s="3"/>
      <c r="F36" s="38"/>
      <c r="G36" s="31"/>
    </row>
    <row r="37" spans="1:7" s="7" customFormat="1" ht="16.350000000000001" customHeight="1" x14ac:dyDescent="0.2">
      <c r="A37" s="3"/>
      <c r="B37" s="3"/>
      <c r="C37" s="3"/>
      <c r="D37" s="3"/>
      <c r="E37" s="3"/>
      <c r="F37" s="38"/>
      <c r="G37" s="31"/>
    </row>
    <row r="38" spans="1:7" s="7" customFormat="1" ht="16.350000000000001" customHeight="1" x14ac:dyDescent="0.2">
      <c r="A38" s="3"/>
      <c r="B38" s="3"/>
      <c r="C38" s="3"/>
      <c r="D38" s="3"/>
      <c r="E38" s="3"/>
      <c r="F38" s="38"/>
      <c r="G38" s="31"/>
    </row>
    <row r="39" spans="1:7" s="7" customFormat="1" ht="16.350000000000001" customHeight="1" x14ac:dyDescent="0.2">
      <c r="A39" s="3"/>
      <c r="B39" s="3"/>
      <c r="C39" s="3"/>
      <c r="D39" s="3"/>
      <c r="E39" s="3"/>
      <c r="F39" s="38"/>
      <c r="G39" s="31"/>
    </row>
    <row r="40" spans="1:7" s="7" customFormat="1" ht="16.350000000000001" customHeight="1" x14ac:dyDescent="0.2">
      <c r="A40" s="3"/>
      <c r="B40" s="3"/>
      <c r="C40" s="3"/>
      <c r="D40" s="3"/>
      <c r="E40" s="3"/>
      <c r="F40" s="38"/>
      <c r="G40" s="31"/>
    </row>
    <row r="41" spans="1:7" s="7" customFormat="1" ht="16.350000000000001" customHeight="1" x14ac:dyDescent="0.2">
      <c r="A41" s="3"/>
      <c r="B41" s="3"/>
      <c r="C41" s="3"/>
      <c r="D41" s="3"/>
      <c r="E41" s="3"/>
      <c r="F41" s="38"/>
      <c r="G41" s="31"/>
    </row>
    <row r="42" spans="1:7" s="7" customFormat="1" ht="16.350000000000001" customHeight="1" x14ac:dyDescent="0.2">
      <c r="A42" s="3"/>
      <c r="B42" s="3"/>
      <c r="C42" s="3"/>
      <c r="D42" s="3"/>
      <c r="E42" s="3"/>
      <c r="F42" s="38"/>
      <c r="G42" s="31"/>
    </row>
    <row r="43" spans="1:7" s="7" customFormat="1" ht="16.350000000000001" customHeight="1" x14ac:dyDescent="0.2">
      <c r="A43" s="3"/>
      <c r="B43" s="3"/>
      <c r="C43" s="3"/>
      <c r="D43" s="3"/>
      <c r="E43" s="3"/>
      <c r="F43" s="38"/>
      <c r="G43" s="31"/>
    </row>
    <row r="44" spans="1:7" s="7" customFormat="1" ht="16.350000000000001" customHeight="1" x14ac:dyDescent="0.2">
      <c r="A44" s="3"/>
      <c r="B44" s="3"/>
      <c r="C44" s="3"/>
      <c r="D44" s="3"/>
      <c r="E44" s="3"/>
      <c r="F44" s="38"/>
      <c r="G44" s="31"/>
    </row>
    <row r="45" spans="1:7" s="7" customFormat="1" ht="16.350000000000001" customHeight="1" x14ac:dyDescent="0.2">
      <c r="A45" s="3"/>
      <c r="B45" s="3"/>
      <c r="C45" s="3"/>
      <c r="D45" s="3"/>
      <c r="E45" s="3"/>
      <c r="F45" s="38"/>
      <c r="G45" s="31"/>
    </row>
    <row r="46" spans="1:7" s="7" customFormat="1" ht="16.350000000000001" customHeight="1" x14ac:dyDescent="0.2">
      <c r="A46" s="3"/>
      <c r="B46" s="3"/>
      <c r="C46" s="3"/>
      <c r="D46" s="3"/>
      <c r="E46" s="3"/>
      <c r="F46" s="38"/>
      <c r="G46" s="31"/>
    </row>
    <row r="47" spans="1:7" s="7" customFormat="1" ht="16.350000000000001" customHeight="1" x14ac:dyDescent="0.2">
      <c r="A47" s="3"/>
      <c r="B47" s="3"/>
      <c r="C47" s="3"/>
      <c r="D47" s="3"/>
      <c r="E47" s="3"/>
      <c r="F47" s="38"/>
      <c r="G47" s="31"/>
    </row>
    <row r="48" spans="1:7" s="7" customFormat="1" ht="16.350000000000001" customHeight="1" x14ac:dyDescent="0.2">
      <c r="A48" s="3"/>
      <c r="B48" s="3"/>
      <c r="C48" s="3"/>
      <c r="D48" s="3"/>
      <c r="E48" s="3"/>
      <c r="F48" s="38"/>
      <c r="G48" s="31"/>
    </row>
    <row r="49" spans="1:7" s="7" customFormat="1" ht="16.350000000000001" customHeight="1" x14ac:dyDescent="0.2">
      <c r="A49" s="3"/>
      <c r="B49" s="3"/>
      <c r="C49" s="3"/>
      <c r="D49" s="3"/>
      <c r="E49" s="3"/>
      <c r="F49" s="38"/>
      <c r="G49" s="31"/>
    </row>
    <row r="50" spans="1:7" s="7" customFormat="1" ht="16.350000000000001" customHeight="1" x14ac:dyDescent="0.2">
      <c r="A50" s="3"/>
      <c r="B50" s="3"/>
      <c r="C50" s="3"/>
      <c r="D50" s="3"/>
      <c r="E50" s="3"/>
      <c r="F50" s="38"/>
      <c r="G50" s="31"/>
    </row>
    <row r="51" spans="1:7" s="7" customFormat="1" ht="16.350000000000001" customHeight="1" x14ac:dyDescent="0.2">
      <c r="A51" s="3"/>
      <c r="B51" s="3"/>
      <c r="C51" s="3"/>
      <c r="D51" s="3"/>
      <c r="E51" s="3"/>
      <c r="F51" s="38"/>
      <c r="G51" s="31"/>
    </row>
    <row r="52" spans="1:7" s="7" customFormat="1" ht="16.350000000000001" customHeight="1" x14ac:dyDescent="0.2">
      <c r="A52" s="3"/>
      <c r="B52" s="3"/>
      <c r="C52" s="3"/>
      <c r="D52" s="3"/>
      <c r="E52" s="3"/>
      <c r="F52" s="38"/>
      <c r="G52" s="31"/>
    </row>
    <row r="53" spans="1:7" s="7" customFormat="1" ht="16.350000000000001" customHeight="1" x14ac:dyDescent="0.2">
      <c r="A53" s="3"/>
      <c r="B53" s="3"/>
      <c r="C53" s="3"/>
      <c r="D53" s="3"/>
      <c r="E53" s="3"/>
      <c r="F53" s="38"/>
      <c r="G53" s="31"/>
    </row>
    <row r="54" spans="1:7" s="7" customFormat="1" ht="16.350000000000001" customHeight="1" x14ac:dyDescent="0.2">
      <c r="A54" s="3"/>
      <c r="B54" s="3"/>
      <c r="C54" s="3"/>
      <c r="D54" s="3"/>
      <c r="E54" s="3"/>
      <c r="F54" s="38"/>
      <c r="G54" s="31"/>
    </row>
    <row r="55" spans="1:7" s="7" customFormat="1" ht="16.350000000000001" customHeight="1" x14ac:dyDescent="0.2">
      <c r="A55" s="3"/>
      <c r="B55" s="3"/>
      <c r="C55" s="3"/>
      <c r="D55" s="3"/>
      <c r="E55" s="3"/>
      <c r="F55" s="38"/>
      <c r="G55" s="31"/>
    </row>
    <row r="56" spans="1:7" s="7" customFormat="1" ht="16.350000000000001" customHeight="1" x14ac:dyDescent="0.2">
      <c r="A56" s="3"/>
      <c r="B56" s="3"/>
      <c r="C56" s="3"/>
      <c r="D56" s="3"/>
      <c r="E56" s="3"/>
      <c r="F56" s="38"/>
      <c r="G56" s="31"/>
    </row>
    <row r="57" spans="1:7" s="7" customFormat="1" ht="16.350000000000001" customHeight="1" x14ac:dyDescent="0.2">
      <c r="A57" s="3"/>
      <c r="B57" s="3"/>
      <c r="C57" s="3"/>
      <c r="D57" s="3"/>
      <c r="E57" s="3"/>
      <c r="F57" s="38"/>
      <c r="G57" s="31"/>
    </row>
    <row r="58" spans="1:7" s="7" customFormat="1" ht="16.350000000000001" customHeight="1" x14ac:dyDescent="0.2">
      <c r="A58" s="3"/>
      <c r="B58" s="3"/>
      <c r="C58" s="3"/>
      <c r="D58" s="3"/>
      <c r="E58" s="3"/>
      <c r="F58" s="38"/>
      <c r="G58" s="31"/>
    </row>
    <row r="59" spans="1:7" s="7" customFormat="1" ht="16.350000000000001" customHeight="1" x14ac:dyDescent="0.2">
      <c r="A59" s="3"/>
      <c r="B59" s="3"/>
      <c r="C59" s="3"/>
      <c r="D59" s="3"/>
      <c r="E59" s="3"/>
      <c r="F59" s="38"/>
      <c r="G59" s="31"/>
    </row>
    <row r="60" spans="1:7" s="7" customFormat="1" ht="16.350000000000001" customHeight="1" x14ac:dyDescent="0.2">
      <c r="A60" s="3"/>
      <c r="B60" s="3"/>
      <c r="C60" s="3"/>
      <c r="D60" s="3"/>
      <c r="E60" s="3"/>
      <c r="F60" s="38"/>
      <c r="G60" s="31"/>
    </row>
    <row r="61" spans="1:7" s="7" customFormat="1" ht="16.350000000000001" customHeight="1" x14ac:dyDescent="0.2">
      <c r="A61" s="3"/>
      <c r="B61" s="3"/>
      <c r="C61" s="3"/>
      <c r="D61" s="3"/>
      <c r="E61" s="3"/>
      <c r="F61" s="38"/>
      <c r="G61" s="31"/>
    </row>
    <row r="62" spans="1:7" s="7" customFormat="1" ht="16.350000000000001" customHeight="1" x14ac:dyDescent="0.2">
      <c r="A62" s="3"/>
      <c r="B62" s="3"/>
      <c r="C62" s="3"/>
      <c r="D62" s="3"/>
      <c r="E62" s="3"/>
      <c r="F62" s="38"/>
      <c r="G62" s="31"/>
    </row>
    <row r="63" spans="1:7" s="7" customFormat="1" ht="16.350000000000001" customHeight="1" x14ac:dyDescent="0.2">
      <c r="A63" s="3"/>
      <c r="B63" s="3"/>
      <c r="C63" s="3"/>
      <c r="D63" s="3"/>
      <c r="E63" s="3"/>
      <c r="F63" s="38"/>
      <c r="G63" s="31"/>
    </row>
    <row r="64" spans="1:7" s="7" customFormat="1" ht="16.350000000000001" customHeight="1" x14ac:dyDescent="0.2">
      <c r="A64" s="3"/>
      <c r="B64" s="3"/>
      <c r="C64" s="3"/>
      <c r="D64" s="3"/>
      <c r="E64" s="3"/>
      <c r="F64" s="38"/>
      <c r="G64" s="31"/>
    </row>
    <row r="65" spans="1:7" s="7" customFormat="1" ht="16.350000000000001" customHeight="1" x14ac:dyDescent="0.2">
      <c r="A65" s="3"/>
      <c r="B65" s="3"/>
      <c r="C65" s="3"/>
      <c r="D65" s="3"/>
      <c r="E65" s="3"/>
      <c r="F65" s="38"/>
      <c r="G65" s="31"/>
    </row>
    <row r="66" spans="1:7" s="7" customFormat="1" ht="16.350000000000001" customHeight="1" x14ac:dyDescent="0.2">
      <c r="A66" s="3"/>
      <c r="B66" s="3"/>
      <c r="C66" s="3"/>
      <c r="D66" s="3"/>
      <c r="E66" s="3"/>
      <c r="F66" s="38"/>
      <c r="G66" s="31"/>
    </row>
    <row r="67" spans="1:7" s="7" customFormat="1" ht="16.350000000000001" customHeight="1" x14ac:dyDescent="0.2">
      <c r="A67" s="3"/>
      <c r="B67" s="3"/>
      <c r="C67" s="3"/>
      <c r="D67" s="3"/>
      <c r="E67" s="3"/>
      <c r="F67" s="38"/>
      <c r="G67" s="31"/>
    </row>
    <row r="68" spans="1:7" s="7" customFormat="1" ht="16.350000000000001" customHeight="1" x14ac:dyDescent="0.2">
      <c r="A68" s="3"/>
      <c r="B68" s="3"/>
      <c r="C68" s="3"/>
      <c r="D68" s="3"/>
      <c r="E68" s="3"/>
      <c r="F68" s="38"/>
      <c r="G68" s="31"/>
    </row>
    <row r="69" spans="1:7" s="7" customFormat="1" ht="16.350000000000001" customHeight="1" x14ac:dyDescent="0.2">
      <c r="A69" s="3"/>
      <c r="B69" s="3"/>
      <c r="C69" s="3"/>
      <c r="D69" s="3"/>
      <c r="E69" s="3"/>
      <c r="F69" s="38"/>
      <c r="G69" s="31"/>
    </row>
    <row r="70" spans="1:7" s="7" customFormat="1" ht="16.350000000000001" customHeight="1" x14ac:dyDescent="0.2">
      <c r="A70" s="3"/>
      <c r="B70" s="3"/>
      <c r="C70" s="3"/>
      <c r="D70" s="3"/>
      <c r="E70" s="3"/>
      <c r="F70" s="38"/>
      <c r="G70" s="31"/>
    </row>
    <row r="71" spans="1:7" s="7" customFormat="1" ht="16.350000000000001" customHeight="1" x14ac:dyDescent="0.2">
      <c r="A71" s="3"/>
      <c r="B71" s="3"/>
      <c r="C71" s="3"/>
      <c r="D71" s="3"/>
      <c r="E71" s="3"/>
      <c r="F71" s="38"/>
      <c r="G71" s="31"/>
    </row>
    <row r="72" spans="1:7" s="7" customFormat="1" ht="16.350000000000001" customHeight="1" x14ac:dyDescent="0.2">
      <c r="A72" s="3"/>
      <c r="B72" s="3"/>
      <c r="C72" s="3"/>
      <c r="D72" s="3"/>
      <c r="E72" s="3"/>
      <c r="F72" s="38"/>
      <c r="G72" s="31"/>
    </row>
    <row r="73" spans="1:7" s="7" customFormat="1" ht="16.350000000000001" customHeight="1" x14ac:dyDescent="0.2">
      <c r="A73" s="3"/>
      <c r="B73" s="3"/>
      <c r="C73" s="3"/>
      <c r="D73" s="3"/>
      <c r="E73" s="3"/>
      <c r="F73" s="38"/>
      <c r="G73" s="31"/>
    </row>
    <row r="74" spans="1:7" s="7" customFormat="1" ht="16.350000000000001" customHeight="1" x14ac:dyDescent="0.2">
      <c r="A74" s="3"/>
      <c r="B74" s="3"/>
      <c r="C74" s="3"/>
      <c r="D74" s="3"/>
      <c r="E74" s="3"/>
      <c r="F74" s="38"/>
      <c r="G74" s="31"/>
    </row>
    <row r="75" spans="1:7" s="7" customFormat="1" ht="16.350000000000001" customHeight="1" x14ac:dyDescent="0.2">
      <c r="A75" s="3"/>
      <c r="B75" s="3"/>
      <c r="C75" s="3"/>
      <c r="D75" s="3"/>
      <c r="E75" s="3"/>
      <c r="F75" s="38"/>
      <c r="G75" s="31"/>
    </row>
    <row r="76" spans="1:7" s="7" customFormat="1" ht="16.350000000000001" customHeight="1" x14ac:dyDescent="0.2">
      <c r="A76" s="3"/>
      <c r="B76" s="3"/>
      <c r="C76" s="3"/>
      <c r="D76" s="3"/>
      <c r="E76" s="3"/>
      <c r="F76" s="38"/>
      <c r="G76" s="31"/>
    </row>
    <row r="77" spans="1:7" s="7" customFormat="1" ht="16.350000000000001" customHeight="1" x14ac:dyDescent="0.2">
      <c r="A77" s="3"/>
      <c r="B77" s="3"/>
      <c r="C77" s="3"/>
      <c r="D77" s="3"/>
      <c r="E77" s="3"/>
      <c r="F77" s="38"/>
      <c r="G77" s="31"/>
    </row>
    <row r="78" spans="1:7" s="7" customFormat="1" ht="16.350000000000001" customHeight="1" x14ac:dyDescent="0.2">
      <c r="A78" s="3"/>
      <c r="B78" s="3"/>
      <c r="C78" s="3"/>
      <c r="D78" s="3"/>
      <c r="E78" s="3"/>
      <c r="F78" s="38"/>
      <c r="G78" s="31"/>
    </row>
    <row r="79" spans="1:7" s="7" customFormat="1" ht="16.350000000000001" customHeight="1" x14ac:dyDescent="0.2">
      <c r="A79" s="3"/>
      <c r="B79" s="3"/>
      <c r="C79" s="3"/>
      <c r="D79" s="3"/>
      <c r="E79" s="3"/>
      <c r="F79" s="38"/>
      <c r="G79" s="31"/>
    </row>
    <row r="80" spans="1:7" s="7" customFormat="1" ht="16.350000000000001" customHeight="1" x14ac:dyDescent="0.2">
      <c r="A80" s="3"/>
      <c r="B80" s="3"/>
      <c r="C80" s="3"/>
      <c r="D80" s="3"/>
      <c r="E80" s="3"/>
      <c r="F80" s="38"/>
      <c r="G80" s="31"/>
    </row>
    <row r="81" spans="1:7" s="7" customFormat="1" ht="16.350000000000001" customHeight="1" x14ac:dyDescent="0.2">
      <c r="A81" s="3"/>
      <c r="B81" s="3"/>
      <c r="C81" s="3"/>
      <c r="D81" s="3"/>
      <c r="E81" s="3"/>
      <c r="F81" s="38"/>
      <c r="G81" s="31"/>
    </row>
    <row r="82" spans="1:7" s="7" customFormat="1" ht="16.350000000000001" customHeight="1" x14ac:dyDescent="0.2">
      <c r="A82" s="3"/>
      <c r="B82" s="3"/>
      <c r="C82" s="3"/>
      <c r="D82" s="3"/>
      <c r="E82" s="3"/>
      <c r="F82" s="38"/>
      <c r="G82" s="31"/>
    </row>
    <row r="83" spans="1:7" s="7" customFormat="1" ht="16.350000000000001" customHeight="1" x14ac:dyDescent="0.2">
      <c r="A83" s="3"/>
      <c r="B83" s="3"/>
      <c r="C83" s="3"/>
      <c r="D83" s="3"/>
      <c r="E83" s="3"/>
      <c r="F83" s="38"/>
      <c r="G83" s="31"/>
    </row>
    <row r="84" spans="1:7" s="7" customFormat="1" ht="16.350000000000001" customHeight="1" x14ac:dyDescent="0.2">
      <c r="A84" s="3"/>
      <c r="B84" s="3"/>
      <c r="C84" s="3"/>
      <c r="D84" s="3"/>
      <c r="E84" s="3"/>
      <c r="F84" s="38"/>
      <c r="G84" s="31"/>
    </row>
    <row r="85" spans="1:7" s="7" customFormat="1" ht="16.350000000000001" customHeight="1" x14ac:dyDescent="0.2">
      <c r="A85" s="3"/>
      <c r="B85" s="3"/>
      <c r="C85" s="3"/>
      <c r="D85" s="3"/>
      <c r="E85" s="3"/>
      <c r="F85" s="38"/>
      <c r="G85" s="31"/>
    </row>
    <row r="86" spans="1:7" s="7" customFormat="1" ht="16.350000000000001" customHeight="1" x14ac:dyDescent="0.2">
      <c r="A86" s="3"/>
      <c r="B86" s="3"/>
      <c r="C86" s="3"/>
      <c r="D86" s="3"/>
      <c r="E86" s="3"/>
      <c r="F86" s="38"/>
      <c r="G86" s="31"/>
    </row>
    <row r="87" spans="1:7" s="7" customFormat="1" ht="16.350000000000001" customHeight="1" x14ac:dyDescent="0.2">
      <c r="A87" s="3"/>
      <c r="B87" s="3"/>
      <c r="C87" s="3"/>
      <c r="D87" s="3"/>
      <c r="E87" s="3"/>
      <c r="F87" s="38"/>
      <c r="G87" s="31"/>
    </row>
    <row r="88" spans="1:7" s="7" customFormat="1" ht="16.350000000000001" customHeight="1" x14ac:dyDescent="0.2">
      <c r="A88" s="3"/>
      <c r="B88" s="3"/>
      <c r="C88" s="3"/>
      <c r="D88" s="3"/>
      <c r="E88" s="3"/>
      <c r="F88" s="38"/>
      <c r="G88" s="31"/>
    </row>
    <row r="89" spans="1:7" s="7" customFormat="1" ht="16.350000000000001" customHeight="1" x14ac:dyDescent="0.2">
      <c r="A89" s="3"/>
      <c r="B89" s="3"/>
      <c r="C89" s="3"/>
      <c r="D89" s="3"/>
      <c r="E89" s="3"/>
      <c r="F89" s="38"/>
      <c r="G89" s="31"/>
    </row>
    <row r="90" spans="1:7" s="7" customFormat="1" ht="16.350000000000001" customHeight="1" x14ac:dyDescent="0.2">
      <c r="A90" s="3"/>
      <c r="B90" s="3"/>
      <c r="C90" s="3"/>
      <c r="D90" s="3"/>
      <c r="E90" s="3"/>
      <c r="F90" s="38"/>
      <c r="G90" s="31"/>
    </row>
    <row r="91" spans="1:7" s="7" customFormat="1" ht="16.350000000000001" customHeight="1" x14ac:dyDescent="0.2">
      <c r="A91" s="3"/>
      <c r="B91" s="3"/>
      <c r="C91" s="3"/>
      <c r="D91" s="3"/>
      <c r="E91" s="3"/>
      <c r="F91" s="38"/>
      <c r="G91" s="31"/>
    </row>
    <row r="92" spans="1:7" s="7" customFormat="1" ht="16.350000000000001" customHeight="1" x14ac:dyDescent="0.2">
      <c r="A92" s="3"/>
      <c r="B92" s="3"/>
      <c r="C92" s="3"/>
      <c r="D92" s="3"/>
      <c r="E92" s="3"/>
      <c r="F92" s="38"/>
      <c r="G92" s="31"/>
    </row>
    <row r="93" spans="1:7" s="7" customFormat="1" ht="16.350000000000001" customHeight="1" x14ac:dyDescent="0.2">
      <c r="A93" s="3"/>
      <c r="B93" s="3"/>
      <c r="C93" s="3"/>
      <c r="D93" s="3"/>
      <c r="E93" s="3"/>
      <c r="F93" s="38"/>
      <c r="G93" s="31"/>
    </row>
    <row r="94" spans="1:7" s="7" customFormat="1" ht="16.350000000000001" customHeight="1" x14ac:dyDescent="0.2">
      <c r="A94" s="3"/>
      <c r="B94" s="3"/>
      <c r="C94" s="3"/>
      <c r="D94" s="3"/>
      <c r="E94" s="3"/>
      <c r="F94" s="38"/>
      <c r="G94" s="31"/>
    </row>
    <row r="95" spans="1:7" s="7" customFormat="1" ht="16.350000000000001" customHeight="1" x14ac:dyDescent="0.2">
      <c r="A95" s="3"/>
      <c r="B95" s="3"/>
      <c r="C95" s="3"/>
      <c r="D95" s="3"/>
      <c r="E95" s="3"/>
      <c r="F95" s="38"/>
      <c r="G95" s="31"/>
    </row>
    <row r="96" spans="1:7" s="7" customFormat="1" ht="16.350000000000001" customHeight="1" x14ac:dyDescent="0.2">
      <c r="A96" s="3"/>
      <c r="B96" s="3"/>
      <c r="C96" s="3"/>
      <c r="D96" s="3"/>
      <c r="E96" s="3"/>
      <c r="F96" s="38"/>
      <c r="G96" s="31"/>
    </row>
    <row r="97" spans="1:7" s="7" customFormat="1" ht="16.350000000000001" customHeight="1" x14ac:dyDescent="0.2">
      <c r="A97" s="3"/>
      <c r="B97" s="3"/>
      <c r="C97" s="3"/>
      <c r="D97" s="3"/>
      <c r="E97" s="3"/>
      <c r="F97" s="38"/>
      <c r="G97" s="31"/>
    </row>
    <row r="98" spans="1:7" s="7" customFormat="1" ht="16.350000000000001" customHeight="1" x14ac:dyDescent="0.2">
      <c r="A98" s="3"/>
      <c r="B98" s="3"/>
      <c r="C98" s="3"/>
      <c r="D98" s="3"/>
      <c r="E98" s="3"/>
      <c r="F98" s="38"/>
      <c r="G98" s="31"/>
    </row>
    <row r="99" spans="1:7" s="7" customFormat="1" ht="16.350000000000001" customHeight="1" x14ac:dyDescent="0.2">
      <c r="A99" s="3"/>
      <c r="B99" s="3"/>
      <c r="C99" s="3"/>
      <c r="D99" s="3"/>
      <c r="E99" s="3"/>
      <c r="F99" s="38"/>
      <c r="G99" s="31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8"/>
      <c r="G100" s="31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8"/>
      <c r="G101" s="31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8"/>
      <c r="G102" s="31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8"/>
      <c r="G103" s="31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8"/>
      <c r="G104" s="31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8"/>
      <c r="G105" s="31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8"/>
      <c r="G106" s="31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8"/>
      <c r="G107" s="31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8"/>
      <c r="G108" s="31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8"/>
      <c r="G109" s="31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8"/>
      <c r="G110" s="31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8"/>
      <c r="G111" s="31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8"/>
      <c r="G112" s="31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8"/>
      <c r="G113" s="31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8"/>
      <c r="G114" s="31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8"/>
      <c r="G115" s="31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8"/>
      <c r="G116" s="31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8"/>
      <c r="G117" s="31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8"/>
      <c r="G118" s="31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8"/>
      <c r="G119" s="31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8"/>
      <c r="G120" s="31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8"/>
      <c r="G121" s="31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8"/>
      <c r="G122" s="31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8"/>
      <c r="G123" s="31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8"/>
      <c r="G124" s="31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8"/>
      <c r="G125" s="31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8"/>
      <c r="G126" s="31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8"/>
      <c r="G127" s="31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8"/>
      <c r="G128" s="31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8"/>
      <c r="G129" s="31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8"/>
      <c r="G130" s="31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8"/>
      <c r="G131" s="31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8"/>
      <c r="G132" s="31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8"/>
      <c r="G133" s="31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8"/>
      <c r="G134" s="31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8"/>
      <c r="G135" s="31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8"/>
      <c r="G136" s="31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8"/>
      <c r="G137" s="31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8"/>
      <c r="G138" s="31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8"/>
      <c r="G139" s="31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8"/>
      <c r="G140" s="31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8"/>
      <c r="G141" s="31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8"/>
      <c r="G142" s="31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8"/>
      <c r="G143" s="31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8"/>
      <c r="G144" s="31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8"/>
      <c r="G145" s="31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8"/>
      <c r="G146" s="31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8"/>
      <c r="G147" s="31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8"/>
      <c r="G148" s="31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8"/>
      <c r="G149" s="31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8"/>
      <c r="G150" s="31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8"/>
      <c r="G151" s="31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8"/>
      <c r="G152" s="31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8"/>
      <c r="G153" s="31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8"/>
      <c r="G154" s="31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8"/>
      <c r="G155" s="31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8"/>
      <c r="G156" s="31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8"/>
      <c r="G157" s="31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8"/>
      <c r="G158" s="31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8"/>
      <c r="G159" s="31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8"/>
      <c r="G160" s="31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8"/>
      <c r="G161" s="31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8"/>
      <c r="G162" s="31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8"/>
      <c r="G163" s="31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8"/>
      <c r="G164" s="31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8"/>
      <c r="G165" s="31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8"/>
      <c r="G166" s="31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8"/>
      <c r="G167" s="31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8"/>
      <c r="G168" s="31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8"/>
      <c r="G169" s="31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8"/>
      <c r="G170" s="31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8"/>
      <c r="G171" s="31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8"/>
      <c r="G172" s="31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8"/>
      <c r="G173" s="31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8"/>
      <c r="G174" s="31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8"/>
      <c r="G175" s="31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8"/>
      <c r="G176" s="31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8"/>
      <c r="G177" s="31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8"/>
      <c r="G178" s="31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8"/>
      <c r="G179" s="31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8"/>
      <c r="G180" s="31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8"/>
      <c r="G181" s="31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8"/>
      <c r="G182" s="31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8"/>
      <c r="G183" s="31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8"/>
      <c r="G184" s="31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8"/>
      <c r="G185" s="31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8"/>
      <c r="G186" s="31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8"/>
      <c r="G187" s="31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8"/>
      <c r="G188" s="31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8"/>
      <c r="G189" s="31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8"/>
      <c r="G190" s="31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8"/>
      <c r="G191" s="31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8"/>
      <c r="G192" s="31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8"/>
      <c r="G193" s="31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8"/>
      <c r="G194" s="31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8"/>
      <c r="G195" s="31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8"/>
      <c r="G196" s="31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8"/>
      <c r="G197" s="31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8"/>
      <c r="G198" s="31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8"/>
      <c r="G199" s="31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8"/>
      <c r="G200" s="31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8"/>
      <c r="G201" s="31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8"/>
      <c r="G202" s="31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8"/>
      <c r="G203" s="31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8"/>
      <c r="G204" s="31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8"/>
      <c r="G205" s="31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8"/>
      <c r="G206" s="31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8"/>
      <c r="G207" s="31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8"/>
      <c r="G208" s="31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8"/>
      <c r="G209" s="31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8"/>
      <c r="G210" s="31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8"/>
      <c r="G211" s="31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8"/>
      <c r="G212" s="31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8"/>
      <c r="G213" s="31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8"/>
      <c r="G214" s="31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8"/>
      <c r="G215" s="31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8"/>
      <c r="G216" s="31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8"/>
      <c r="G217" s="31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8"/>
      <c r="G218" s="31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8"/>
      <c r="G219" s="31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8"/>
      <c r="G220" s="31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8"/>
      <c r="G221" s="31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8"/>
      <c r="G222" s="31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8"/>
      <c r="G223" s="31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8"/>
      <c r="G224" s="31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8"/>
      <c r="G225" s="31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8"/>
      <c r="G226" s="31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8"/>
      <c r="G227" s="31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8"/>
      <c r="G228" s="31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8"/>
      <c r="G229" s="31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8"/>
      <c r="G230" s="31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8"/>
      <c r="G231" s="31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8"/>
      <c r="G232" s="31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8"/>
      <c r="G233" s="31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8"/>
      <c r="G234" s="31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8"/>
      <c r="G235" s="31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8"/>
      <c r="G236" s="31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8"/>
      <c r="G237" s="31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8"/>
      <c r="G238" s="31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8"/>
      <c r="G239" s="31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8"/>
      <c r="G240" s="31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8"/>
      <c r="G241" s="31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8"/>
      <c r="G242" s="31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8"/>
      <c r="G243" s="31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8"/>
      <c r="G244" s="31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8"/>
      <c r="G245" s="31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8"/>
      <c r="G246" s="31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8"/>
      <c r="G247" s="31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8"/>
      <c r="G248" s="31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8"/>
      <c r="G249" s="31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8"/>
      <c r="G250" s="31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8"/>
      <c r="G251" s="31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8"/>
      <c r="G252" s="31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8"/>
      <c r="G253" s="31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8"/>
      <c r="G254" s="31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8"/>
      <c r="G255" s="31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8"/>
      <c r="G256" s="31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8"/>
      <c r="G257" s="31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8"/>
      <c r="G258" s="31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8"/>
      <c r="G259" s="31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8"/>
      <c r="G260" s="31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8"/>
      <c r="G261" s="31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8"/>
      <c r="G262" s="31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8"/>
      <c r="G263" s="31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8"/>
      <c r="G264" s="31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8"/>
      <c r="G265" s="31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8"/>
      <c r="G266" s="31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8"/>
      <c r="G267" s="31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8"/>
      <c r="G268" s="31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8"/>
      <c r="G269" s="31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8"/>
      <c r="G270" s="31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8"/>
      <c r="G271" s="31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8"/>
      <c r="G272" s="31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8"/>
      <c r="G273" s="31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8"/>
      <c r="G274" s="31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8"/>
      <c r="G275" s="31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8"/>
      <c r="G276" s="31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8"/>
      <c r="G277" s="31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8"/>
      <c r="G278" s="31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8"/>
      <c r="G279" s="31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8"/>
      <c r="G280" s="31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8"/>
      <c r="G281" s="31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8"/>
      <c r="G282" s="31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8"/>
      <c r="G283" s="31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8"/>
      <c r="G284" s="31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8"/>
      <c r="G285" s="31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8"/>
      <c r="G286" s="31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8"/>
      <c r="G287" s="31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8"/>
      <c r="G288" s="31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8"/>
      <c r="G289" s="31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8"/>
      <c r="G290" s="31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8"/>
      <c r="G291" s="31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8"/>
      <c r="G292" s="31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8"/>
      <c r="G293" s="31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8"/>
      <c r="G294" s="31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8"/>
      <c r="G295" s="31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8"/>
      <c r="G296" s="31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8"/>
      <c r="G297" s="31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8"/>
      <c r="G298" s="31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8"/>
      <c r="G299" s="31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8"/>
      <c r="G300" s="31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8"/>
      <c r="G301" s="31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8"/>
      <c r="G302" s="31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8"/>
      <c r="G303" s="31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8"/>
      <c r="G304" s="31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8"/>
      <c r="G305" s="31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8"/>
      <c r="G306" s="31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8"/>
      <c r="G307" s="31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8"/>
      <c r="G308" s="31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8"/>
      <c r="G309" s="31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8"/>
      <c r="G310" s="31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8"/>
      <c r="G311" s="31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8"/>
      <c r="G312" s="31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8"/>
      <c r="G313" s="31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8"/>
      <c r="G314" s="31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8"/>
      <c r="G315" s="31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8"/>
      <c r="G316" s="31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8"/>
      <c r="G317" s="31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8"/>
      <c r="G318" s="31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8"/>
      <c r="G319" s="31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8"/>
      <c r="G320" s="31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8"/>
      <c r="G321" s="31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8"/>
      <c r="G322" s="31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8"/>
      <c r="G323" s="31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8"/>
      <c r="G324" s="31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8"/>
      <c r="G325" s="31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8"/>
      <c r="G326" s="31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8"/>
      <c r="G327" s="31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8"/>
      <c r="G328" s="31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8"/>
      <c r="G329" s="31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8"/>
      <c r="G330" s="31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8"/>
      <c r="G331" s="31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8"/>
      <c r="G332" s="31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8"/>
      <c r="G333" s="31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8"/>
      <c r="G334" s="31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8"/>
      <c r="G335" s="31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8"/>
      <c r="G336" s="31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8"/>
      <c r="G337" s="31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8"/>
      <c r="G338" s="31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8"/>
      <c r="G339" s="31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8"/>
      <c r="G340" s="31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8"/>
      <c r="G341" s="31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8"/>
      <c r="G342" s="31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8"/>
      <c r="G343" s="31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8"/>
      <c r="G344" s="31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8"/>
      <c r="G345" s="31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8"/>
      <c r="G346" s="31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8"/>
      <c r="G347" s="31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8"/>
      <c r="G348" s="31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8"/>
      <c r="G349" s="31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8"/>
      <c r="G350" s="31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8"/>
      <c r="G351" s="31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8"/>
      <c r="G352" s="31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8"/>
      <c r="G353" s="31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8"/>
      <c r="G354" s="31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8"/>
      <c r="G355" s="31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8"/>
      <c r="G356" s="31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8"/>
      <c r="G357" s="31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8"/>
      <c r="G358" s="31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8"/>
      <c r="G359" s="31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8"/>
      <c r="G360" s="31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8"/>
      <c r="G361" s="31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8"/>
      <c r="G362" s="31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8"/>
      <c r="G363" s="31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8"/>
      <c r="G364" s="31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8"/>
      <c r="G365" s="31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8"/>
      <c r="G366" s="31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8"/>
      <c r="G367" s="31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8"/>
      <c r="G368" s="31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8"/>
      <c r="G369" s="31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8"/>
      <c r="G370" s="31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8"/>
      <c r="G371" s="31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8"/>
      <c r="G372" s="31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8"/>
      <c r="G373" s="31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8"/>
      <c r="G374" s="31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8"/>
      <c r="G375" s="31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8"/>
      <c r="G376" s="31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8"/>
      <c r="G377" s="31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8"/>
      <c r="G378" s="31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8"/>
      <c r="G379" s="31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8"/>
      <c r="G380" s="31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8"/>
      <c r="G381" s="31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8"/>
      <c r="G382" s="31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8"/>
      <c r="G383" s="31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8"/>
      <c r="G384" s="31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8"/>
      <c r="G385" s="31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8"/>
      <c r="G386" s="31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8"/>
      <c r="G387" s="31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8"/>
      <c r="G388" s="31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8"/>
      <c r="G389" s="31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8"/>
      <c r="G390" s="31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8"/>
      <c r="G391" s="31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8"/>
      <c r="G392" s="31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8"/>
      <c r="G393" s="31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8"/>
      <c r="G394" s="31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8"/>
      <c r="G395" s="31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8"/>
      <c r="G396" s="31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8"/>
      <c r="G397" s="31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8"/>
      <c r="G398" s="31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8"/>
      <c r="G399" s="31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8"/>
      <c r="G400" s="31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8"/>
      <c r="G401" s="31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8"/>
      <c r="G402" s="31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8"/>
      <c r="G403" s="31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8"/>
      <c r="G404" s="31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8"/>
      <c r="G405" s="31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8"/>
      <c r="G406" s="31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8"/>
      <c r="G407" s="31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8"/>
      <c r="G408" s="31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8"/>
      <c r="G409" s="31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8"/>
      <c r="G410" s="31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8"/>
      <c r="G411" s="31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8"/>
      <c r="G412" s="31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8"/>
      <c r="G413" s="31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8"/>
      <c r="G414" s="31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8"/>
      <c r="G415" s="31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8"/>
      <c r="G416" s="31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8"/>
      <c r="G417" s="31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8"/>
      <c r="G418" s="31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8"/>
      <c r="G419" s="31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8"/>
      <c r="G420" s="31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8"/>
      <c r="G421" s="31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8"/>
      <c r="G422" s="31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8"/>
      <c r="G423" s="31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8"/>
      <c r="G424" s="31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8"/>
      <c r="G425" s="31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8"/>
      <c r="G426" s="31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8"/>
      <c r="G427" s="31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8"/>
      <c r="G428" s="31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8"/>
      <c r="G429" s="31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8"/>
      <c r="G430" s="31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8"/>
      <c r="G431" s="31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8"/>
      <c r="G432" s="31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8"/>
      <c r="G433" s="31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8"/>
      <c r="G434" s="31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8"/>
      <c r="G435" s="31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8"/>
      <c r="G436" s="31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8"/>
      <c r="G437" s="31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8"/>
      <c r="G438" s="31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8"/>
      <c r="G439" s="31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8"/>
      <c r="G440" s="31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8"/>
      <c r="G441" s="31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8"/>
      <c r="G442" s="31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8"/>
      <c r="G443" s="31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8"/>
      <c r="G444" s="31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8"/>
      <c r="G445" s="31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8"/>
      <c r="G446" s="31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8"/>
      <c r="G447" s="31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8"/>
      <c r="G448" s="31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8"/>
      <c r="G449" s="31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8"/>
      <c r="G450" s="31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8"/>
      <c r="G451" s="31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8"/>
      <c r="G452" s="31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8"/>
      <c r="G453" s="31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8"/>
      <c r="G454" s="31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8"/>
      <c r="G455" s="31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8"/>
      <c r="G456" s="31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8"/>
      <c r="G457" s="31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8"/>
      <c r="G458" s="31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8"/>
      <c r="G459" s="31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8"/>
      <c r="G460" s="31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8"/>
      <c r="G461" s="31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8"/>
      <c r="G462" s="31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8"/>
      <c r="G463" s="31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8"/>
      <c r="G464" s="31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8"/>
      <c r="G465" s="31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8"/>
      <c r="G466" s="31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8"/>
      <c r="G467" s="31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8"/>
      <c r="G468" s="31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8"/>
      <c r="G469" s="31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8"/>
      <c r="G470" s="31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8"/>
      <c r="G471" s="31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8"/>
      <c r="G472" s="31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8"/>
      <c r="G473" s="31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8"/>
      <c r="G474" s="31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8"/>
      <c r="G475" s="31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8"/>
      <c r="G476" s="31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8"/>
      <c r="G477" s="31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8"/>
      <c r="G478" s="31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8"/>
      <c r="G479" s="31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8"/>
      <c r="G480" s="31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8"/>
      <c r="G481" s="31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8"/>
      <c r="G482" s="31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8"/>
      <c r="G483" s="31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8"/>
      <c r="G484" s="31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8"/>
      <c r="G485" s="31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8"/>
      <c r="G486" s="31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8"/>
      <c r="G487" s="31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8"/>
      <c r="G488" s="31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8"/>
      <c r="G489" s="31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8"/>
      <c r="G490" s="31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8"/>
      <c r="G491" s="31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8"/>
      <c r="G492" s="31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8"/>
      <c r="G493" s="31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8"/>
      <c r="G494" s="31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8"/>
      <c r="G495" s="31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8"/>
      <c r="G496" s="31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8"/>
      <c r="G497" s="31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8"/>
      <c r="G498" s="31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8"/>
      <c r="G499" s="31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8"/>
      <c r="G500" s="31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8"/>
      <c r="G501" s="31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8"/>
      <c r="G502" s="31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8"/>
      <c r="G503" s="31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8"/>
      <c r="G504" s="31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8"/>
      <c r="G505" s="31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8"/>
      <c r="G506" s="31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8"/>
      <c r="G507" s="31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8"/>
      <c r="G508" s="31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8"/>
      <c r="G509" s="31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8"/>
      <c r="G510" s="31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8"/>
      <c r="G511" s="31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8"/>
      <c r="G512" s="31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8"/>
      <c r="G513" s="31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8"/>
      <c r="G514" s="31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8"/>
      <c r="G515" s="31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8"/>
      <c r="G516" s="31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8"/>
      <c r="G517" s="31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8"/>
      <c r="G518" s="31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8"/>
      <c r="G519" s="31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8"/>
      <c r="G520" s="31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8"/>
      <c r="G521" s="31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8"/>
      <c r="G522" s="31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8"/>
      <c r="G523" s="31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8"/>
      <c r="G524" s="31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8"/>
      <c r="G525" s="31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8"/>
      <c r="G526" s="31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8"/>
      <c r="G527" s="31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8"/>
      <c r="G528" s="31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8"/>
      <c r="G529" s="31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8"/>
      <c r="G530" s="31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8"/>
      <c r="G531" s="31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8"/>
      <c r="G532" s="31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8"/>
      <c r="G533" s="31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8"/>
      <c r="G534" s="31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8"/>
      <c r="G535" s="31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8"/>
      <c r="G536" s="31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8"/>
      <c r="G537" s="31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8"/>
      <c r="G538" s="31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8"/>
      <c r="G539" s="31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8"/>
      <c r="G540" s="31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8"/>
      <c r="G541" s="31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8"/>
      <c r="G542" s="31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8"/>
      <c r="G543" s="31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8"/>
      <c r="G544" s="31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8"/>
      <c r="G545" s="31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8"/>
      <c r="G546" s="31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8"/>
      <c r="G547" s="31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8"/>
      <c r="G548" s="31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8"/>
      <c r="G549" s="31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8"/>
      <c r="G550" s="31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8"/>
      <c r="G551" s="31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8"/>
      <c r="G552" s="31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8"/>
      <c r="G553" s="31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8"/>
      <c r="G554" s="31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8"/>
      <c r="G555" s="31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8"/>
      <c r="G556" s="31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8"/>
      <c r="G557" s="31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8"/>
      <c r="G558" s="31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8"/>
      <c r="G559" s="31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8"/>
      <c r="G560" s="31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8"/>
      <c r="G561" s="31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8"/>
      <c r="G562" s="31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8"/>
      <c r="G563" s="31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8"/>
      <c r="G564" s="31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8"/>
      <c r="G565" s="31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8"/>
      <c r="G566" s="31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8"/>
      <c r="G567" s="31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8"/>
      <c r="G568" s="31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8"/>
      <c r="G569" s="31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8"/>
      <c r="G570" s="31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8"/>
      <c r="G571" s="31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8"/>
      <c r="G572" s="31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8"/>
      <c r="G573" s="31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8"/>
      <c r="G574" s="31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8"/>
      <c r="G575" s="31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8"/>
      <c r="G576" s="31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8"/>
      <c r="G577" s="31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8"/>
      <c r="G578" s="31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8"/>
      <c r="G579" s="31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8"/>
      <c r="G580" s="31"/>
    </row>
    <row r="584" spans="1:7" ht="16.350000000000001" customHeight="1" x14ac:dyDescent="0.2">
      <c r="A584" s="39"/>
      <c r="B584" s="39"/>
      <c r="C584" s="39"/>
      <c r="D584" s="39"/>
      <c r="E584" s="39"/>
      <c r="F584" s="40"/>
    </row>
    <row r="585" spans="1:7" ht="16.350000000000001" customHeight="1" x14ac:dyDescent="0.2">
      <c r="A585" s="39"/>
      <c r="B585" s="39"/>
      <c r="C585" s="39"/>
      <c r="D585" s="39"/>
      <c r="E585" s="39"/>
      <c r="F585" s="40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D9" sqref="D9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50" t="s">
        <v>198</v>
      </c>
      <c r="B1" s="49"/>
      <c r="C1" s="49"/>
      <c r="D1" s="49"/>
      <c r="E1" s="49"/>
      <c r="F1" s="49"/>
    </row>
    <row r="2" spans="1:6" x14ac:dyDescent="0.2">
      <c r="A2" s="55" t="s">
        <v>210</v>
      </c>
    </row>
    <row r="3" spans="1:6" x14ac:dyDescent="0.2">
      <c r="A3" s="55"/>
    </row>
    <row r="4" spans="1:6" x14ac:dyDescent="0.2">
      <c r="A4" s="55"/>
    </row>
    <row r="5" spans="1:6" x14ac:dyDescent="0.2">
      <c r="A5" s="55"/>
    </row>
    <row r="6" spans="1:6" x14ac:dyDescent="0.2">
      <c r="A6" s="55"/>
    </row>
    <row r="7" spans="1:6" x14ac:dyDescent="0.2">
      <c r="A7" s="55"/>
    </row>
    <row r="8" spans="1:6" x14ac:dyDescent="0.2">
      <c r="A8" s="55"/>
    </row>
    <row r="9" spans="1:6" x14ac:dyDescent="0.2">
      <c r="A9" s="55"/>
    </row>
    <row r="10" spans="1:6" x14ac:dyDescent="0.2">
      <c r="A10" s="55"/>
    </row>
    <row r="11" spans="1:6" x14ac:dyDescent="0.2">
      <c r="A11" s="55"/>
    </row>
    <row r="12" spans="1:6" x14ac:dyDescent="0.2">
      <c r="A12" s="55"/>
    </row>
    <row r="13" spans="1:6" x14ac:dyDescent="0.2">
      <c r="A13" s="55"/>
    </row>
    <row r="14" spans="1:6" x14ac:dyDescent="0.2">
      <c r="A14" s="55"/>
    </row>
    <row r="15" spans="1:6" x14ac:dyDescent="0.2">
      <c r="A15" s="55"/>
    </row>
    <row r="16" spans="1:6" x14ac:dyDescent="0.2">
      <c r="A16" s="55"/>
    </row>
    <row r="17" spans="1:1" x14ac:dyDescent="0.2">
      <c r="A17" s="55"/>
    </row>
    <row r="18" spans="1:1" x14ac:dyDescent="0.2">
      <c r="A18" s="55"/>
    </row>
    <row r="19" spans="1:1" x14ac:dyDescent="0.2">
      <c r="A19" s="55"/>
    </row>
    <row r="20" spans="1:1" x14ac:dyDescent="0.2">
      <c r="A20" s="55"/>
    </row>
    <row r="21" spans="1:1" x14ac:dyDescent="0.2">
      <c r="A21" s="55"/>
    </row>
    <row r="22" spans="1:1" x14ac:dyDescent="0.2">
      <c r="A22" s="55"/>
    </row>
    <row r="23" spans="1:1" x14ac:dyDescent="0.2">
      <c r="A23" s="55"/>
    </row>
    <row r="24" spans="1:1" x14ac:dyDescent="0.2">
      <c r="A24" s="55"/>
    </row>
    <row r="25" spans="1:1" x14ac:dyDescent="0.2">
      <c r="A25" s="55"/>
    </row>
    <row r="26" spans="1:1" x14ac:dyDescent="0.2">
      <c r="A26" s="55"/>
    </row>
    <row r="27" spans="1:1" x14ac:dyDescent="0.2">
      <c r="A27" s="55"/>
    </row>
    <row r="28" spans="1:1" x14ac:dyDescent="0.2">
      <c r="A28" s="55"/>
    </row>
    <row r="29" spans="1:1" x14ac:dyDescent="0.2">
      <c r="A29" s="55"/>
    </row>
    <row r="30" spans="1:1" x14ac:dyDescent="0.2">
      <c r="A30" s="55"/>
    </row>
    <row r="31" spans="1:1" x14ac:dyDescent="0.2">
      <c r="A31" s="55"/>
    </row>
    <row r="32" spans="1:1" x14ac:dyDescent="0.2">
      <c r="A32" s="55"/>
    </row>
    <row r="33" spans="1:1" x14ac:dyDescent="0.2">
      <c r="A33" s="55"/>
    </row>
    <row r="34" spans="1:1" x14ac:dyDescent="0.2">
      <c r="A34" s="55"/>
    </row>
    <row r="35" spans="1:1" x14ac:dyDescent="0.2">
      <c r="A35" s="55"/>
    </row>
    <row r="36" spans="1:1" x14ac:dyDescent="0.2">
      <c r="A36" s="55"/>
    </row>
    <row r="37" spans="1:1" x14ac:dyDescent="0.2">
      <c r="A37" s="55"/>
    </row>
    <row r="38" spans="1:1" x14ac:dyDescent="0.2">
      <c r="A38" s="55"/>
    </row>
    <row r="39" spans="1:1" x14ac:dyDescent="0.2">
      <c r="A39" s="55"/>
    </row>
    <row r="40" spans="1:1" x14ac:dyDescent="0.2">
      <c r="A40" s="55"/>
    </row>
    <row r="41" spans="1:1" x14ac:dyDescent="0.2">
      <c r="A41" s="55"/>
    </row>
    <row r="42" spans="1:1" x14ac:dyDescent="0.2">
      <c r="A42" s="55"/>
    </row>
    <row r="43" spans="1:1" x14ac:dyDescent="0.2">
      <c r="A43" s="55"/>
    </row>
    <row r="44" spans="1:1" x14ac:dyDescent="0.2">
      <c r="A44" s="55"/>
    </row>
    <row r="45" spans="1:1" x14ac:dyDescent="0.2">
      <c r="A45" s="55"/>
    </row>
    <row r="46" spans="1:1" x14ac:dyDescent="0.2">
      <c r="A46" s="55"/>
    </row>
    <row r="47" spans="1:1" x14ac:dyDescent="0.2">
      <c r="A47" s="55"/>
    </row>
    <row r="48" spans="1:1" x14ac:dyDescent="0.2">
      <c r="A48" s="55"/>
    </row>
    <row r="49" spans="1:1" x14ac:dyDescent="0.2">
      <c r="A49" s="55"/>
    </row>
    <row r="50" spans="1:1" x14ac:dyDescent="0.2">
      <c r="A50" s="55"/>
    </row>
    <row r="51" spans="1:1" x14ac:dyDescent="0.2">
      <c r="A51" s="55"/>
    </row>
    <row r="52" spans="1:1" x14ac:dyDescent="0.2">
      <c r="A52" s="55"/>
    </row>
    <row r="53" spans="1:1" x14ac:dyDescent="0.2">
      <c r="A53" s="55"/>
    </row>
    <row r="54" spans="1:1" x14ac:dyDescent="0.2">
      <c r="A54" s="55"/>
    </row>
    <row r="55" spans="1:1" x14ac:dyDescent="0.2">
      <c r="A55" s="55"/>
    </row>
    <row r="56" spans="1:1" x14ac:dyDescent="0.2">
      <c r="A56" s="55"/>
    </row>
    <row r="57" spans="1:1" x14ac:dyDescent="0.2">
      <c r="A57" s="55"/>
    </row>
    <row r="58" spans="1:1" x14ac:dyDescent="0.2">
      <c r="A58" s="55"/>
    </row>
    <row r="59" spans="1:1" x14ac:dyDescent="0.2">
      <c r="A59" s="55"/>
    </row>
    <row r="60" spans="1:1" x14ac:dyDescent="0.2">
      <c r="A60" s="55"/>
    </row>
    <row r="61" spans="1:1" x14ac:dyDescent="0.2">
      <c r="A61" s="55"/>
    </row>
    <row r="62" spans="1:1" x14ac:dyDescent="0.2">
      <c r="A62" s="55"/>
    </row>
    <row r="63" spans="1:1" x14ac:dyDescent="0.2">
      <c r="A63" s="55"/>
    </row>
    <row r="64" spans="1:1" x14ac:dyDescent="0.2">
      <c r="A64" s="55"/>
    </row>
    <row r="65" spans="1:1" x14ac:dyDescent="0.2">
      <c r="A65" s="55"/>
    </row>
    <row r="66" spans="1:1" x14ac:dyDescent="0.2">
      <c r="A66" s="55"/>
    </row>
    <row r="67" spans="1:1" x14ac:dyDescent="0.2">
      <c r="A67" s="55"/>
    </row>
    <row r="68" spans="1:1" x14ac:dyDescent="0.2">
      <c r="A68" s="55"/>
    </row>
    <row r="69" spans="1:1" x14ac:dyDescent="0.2">
      <c r="A69" s="55"/>
    </row>
    <row r="70" spans="1:1" x14ac:dyDescent="0.2">
      <c r="A70" s="55"/>
    </row>
    <row r="71" spans="1:1" x14ac:dyDescent="0.2">
      <c r="A71" s="55"/>
    </row>
    <row r="72" spans="1:1" x14ac:dyDescent="0.2">
      <c r="A72" s="55"/>
    </row>
    <row r="73" spans="1:1" x14ac:dyDescent="0.2">
      <c r="A73" s="55"/>
    </row>
    <row r="74" spans="1:1" x14ac:dyDescent="0.2">
      <c r="A74" s="55"/>
    </row>
    <row r="75" spans="1:1" x14ac:dyDescent="0.2">
      <c r="A75" s="55"/>
    </row>
    <row r="76" spans="1:1" x14ac:dyDescent="0.2">
      <c r="A76" s="55"/>
    </row>
    <row r="77" spans="1:1" x14ac:dyDescent="0.2">
      <c r="A77" s="55"/>
    </row>
    <row r="78" spans="1:1" x14ac:dyDescent="0.2">
      <c r="A78" s="55"/>
    </row>
    <row r="79" spans="1:1" x14ac:dyDescent="0.2">
      <c r="A79" s="55"/>
    </row>
    <row r="80" spans="1:1" x14ac:dyDescent="0.2">
      <c r="A80" s="55"/>
    </row>
    <row r="81" spans="1:1" x14ac:dyDescent="0.2">
      <c r="A81" s="55"/>
    </row>
    <row r="82" spans="1:1" x14ac:dyDescent="0.2">
      <c r="A82" s="55"/>
    </row>
    <row r="83" spans="1:1" x14ac:dyDescent="0.2">
      <c r="A83" s="55"/>
    </row>
    <row r="84" spans="1:1" x14ac:dyDescent="0.2">
      <c r="A84" s="55"/>
    </row>
    <row r="85" spans="1:1" x14ac:dyDescent="0.2">
      <c r="A85" s="55"/>
    </row>
    <row r="86" spans="1:1" x14ac:dyDescent="0.2">
      <c r="A86" s="55"/>
    </row>
    <row r="87" spans="1:1" x14ac:dyDescent="0.2">
      <c r="A87" s="55"/>
    </row>
    <row r="88" spans="1:1" x14ac:dyDescent="0.2">
      <c r="A88" s="55"/>
    </row>
    <row r="89" spans="1:1" x14ac:dyDescent="0.2">
      <c r="A89" s="55"/>
    </row>
    <row r="90" spans="1:1" x14ac:dyDescent="0.2">
      <c r="A90" s="55"/>
    </row>
    <row r="91" spans="1:1" x14ac:dyDescent="0.2">
      <c r="A91" s="55"/>
    </row>
    <row r="92" spans="1:1" x14ac:dyDescent="0.2">
      <c r="A92" s="55"/>
    </row>
    <row r="93" spans="1:1" x14ac:dyDescent="0.2">
      <c r="A93" s="55"/>
    </row>
    <row r="94" spans="1:1" x14ac:dyDescent="0.2">
      <c r="A94" s="55"/>
    </row>
    <row r="95" spans="1:1" x14ac:dyDescent="0.2">
      <c r="A95" s="55"/>
    </row>
    <row r="96" spans="1:1" x14ac:dyDescent="0.2">
      <c r="A96" s="55"/>
    </row>
    <row r="97" spans="1:1" x14ac:dyDescent="0.2">
      <c r="A97" s="55"/>
    </row>
    <row r="98" spans="1:1" x14ac:dyDescent="0.2">
      <c r="A98" s="55"/>
    </row>
    <row r="99" spans="1:1" x14ac:dyDescent="0.2">
      <c r="A99" s="55"/>
    </row>
    <row r="100" spans="1:1" x14ac:dyDescent="0.2">
      <c r="A100" s="55"/>
    </row>
    <row r="101" spans="1:1" x14ac:dyDescent="0.2">
      <c r="A101" s="55"/>
    </row>
    <row r="102" spans="1:1" x14ac:dyDescent="0.2">
      <c r="A102" s="55"/>
    </row>
    <row r="103" spans="1:1" x14ac:dyDescent="0.2">
      <c r="A103" s="55"/>
    </row>
    <row r="104" spans="1:1" x14ac:dyDescent="0.2">
      <c r="A104" s="55"/>
    </row>
    <row r="105" spans="1:1" x14ac:dyDescent="0.2">
      <c r="A105" s="55"/>
    </row>
    <row r="106" spans="1:1" x14ac:dyDescent="0.2">
      <c r="A106" s="55"/>
    </row>
    <row r="107" spans="1:1" x14ac:dyDescent="0.2">
      <c r="A107" s="55"/>
    </row>
    <row r="108" spans="1:1" x14ac:dyDescent="0.2">
      <c r="A108" s="55"/>
    </row>
    <row r="109" spans="1:1" x14ac:dyDescent="0.2">
      <c r="A109" s="55"/>
    </row>
    <row r="110" spans="1:1" x14ac:dyDescent="0.2">
      <c r="A110" s="55"/>
    </row>
    <row r="111" spans="1:1" x14ac:dyDescent="0.2">
      <c r="A111" s="55"/>
    </row>
    <row r="112" spans="1:1" x14ac:dyDescent="0.2">
      <c r="A112" s="55"/>
    </row>
    <row r="113" spans="1:1" x14ac:dyDescent="0.2">
      <c r="A113" s="55"/>
    </row>
    <row r="114" spans="1:1" x14ac:dyDescent="0.2">
      <c r="A114" s="55"/>
    </row>
    <row r="115" spans="1:1" x14ac:dyDescent="0.2">
      <c r="A115" s="55"/>
    </row>
    <row r="116" spans="1:1" x14ac:dyDescent="0.2">
      <c r="A116" s="55"/>
    </row>
    <row r="117" spans="1:1" x14ac:dyDescent="0.2">
      <c r="A117" s="55"/>
    </row>
    <row r="118" spans="1:1" x14ac:dyDescent="0.2">
      <c r="A118" s="55"/>
    </row>
    <row r="119" spans="1:1" x14ac:dyDescent="0.2">
      <c r="A119" s="55"/>
    </row>
    <row r="120" spans="1:1" x14ac:dyDescent="0.2">
      <c r="A120" s="55"/>
    </row>
    <row r="121" spans="1:1" x14ac:dyDescent="0.2">
      <c r="A121" s="55"/>
    </row>
    <row r="122" spans="1:1" x14ac:dyDescent="0.2">
      <c r="A122" s="55"/>
    </row>
    <row r="123" spans="1:1" x14ac:dyDescent="0.2">
      <c r="A123" s="55"/>
    </row>
    <row r="124" spans="1:1" x14ac:dyDescent="0.2">
      <c r="A124" s="55"/>
    </row>
    <row r="125" spans="1:1" x14ac:dyDescent="0.2">
      <c r="A125" s="55"/>
    </row>
    <row r="126" spans="1:1" x14ac:dyDescent="0.2">
      <c r="A126" s="55"/>
    </row>
    <row r="127" spans="1:1" x14ac:dyDescent="0.2">
      <c r="A127" s="55"/>
    </row>
    <row r="128" spans="1:1" x14ac:dyDescent="0.2">
      <c r="A128" s="55"/>
    </row>
    <row r="129" spans="1:1" x14ac:dyDescent="0.2">
      <c r="A129" s="55"/>
    </row>
    <row r="130" spans="1:1" x14ac:dyDescent="0.2">
      <c r="A130" s="55"/>
    </row>
    <row r="131" spans="1:1" x14ac:dyDescent="0.2">
      <c r="A131" s="55"/>
    </row>
    <row r="132" spans="1:1" x14ac:dyDescent="0.2">
      <c r="A132" s="55"/>
    </row>
    <row r="133" spans="1:1" x14ac:dyDescent="0.2">
      <c r="A133" s="55"/>
    </row>
    <row r="134" spans="1:1" x14ac:dyDescent="0.2">
      <c r="A134" s="55"/>
    </row>
    <row r="135" spans="1:1" x14ac:dyDescent="0.2">
      <c r="A135" s="55"/>
    </row>
    <row r="136" spans="1:1" x14ac:dyDescent="0.2">
      <c r="A136" s="55"/>
    </row>
    <row r="137" spans="1:1" x14ac:dyDescent="0.2">
      <c r="A137" s="55"/>
    </row>
    <row r="138" spans="1:1" x14ac:dyDescent="0.2">
      <c r="A138" s="55"/>
    </row>
    <row r="139" spans="1:1" x14ac:dyDescent="0.2">
      <c r="A139" s="55"/>
    </row>
    <row r="140" spans="1:1" x14ac:dyDescent="0.2">
      <c r="A140" s="55"/>
    </row>
    <row r="141" spans="1:1" x14ac:dyDescent="0.2">
      <c r="A141" s="55"/>
    </row>
    <row r="142" spans="1:1" x14ac:dyDescent="0.2">
      <c r="A142" s="55"/>
    </row>
    <row r="143" spans="1:1" x14ac:dyDescent="0.2">
      <c r="A143" s="55"/>
    </row>
    <row r="144" spans="1:1" x14ac:dyDescent="0.2">
      <c r="A144" s="55"/>
    </row>
    <row r="145" spans="1:1" x14ac:dyDescent="0.2">
      <c r="A145" s="55"/>
    </row>
    <row r="146" spans="1:1" x14ac:dyDescent="0.2">
      <c r="A146" s="55"/>
    </row>
    <row r="147" spans="1:1" x14ac:dyDescent="0.2">
      <c r="A147" s="55"/>
    </row>
    <row r="148" spans="1:1" x14ac:dyDescent="0.2">
      <c r="A148" s="55"/>
    </row>
    <row r="149" spans="1:1" x14ac:dyDescent="0.2">
      <c r="A149" s="55"/>
    </row>
    <row r="150" spans="1:1" x14ac:dyDescent="0.2">
      <c r="A150" s="55"/>
    </row>
    <row r="151" spans="1:1" x14ac:dyDescent="0.2">
      <c r="A151" s="55"/>
    </row>
    <row r="152" spans="1:1" x14ac:dyDescent="0.2">
      <c r="A152" s="55"/>
    </row>
    <row r="153" spans="1:1" x14ac:dyDescent="0.2">
      <c r="A153" s="55"/>
    </row>
    <row r="154" spans="1:1" x14ac:dyDescent="0.2">
      <c r="A154" s="55"/>
    </row>
    <row r="155" spans="1:1" x14ac:dyDescent="0.2">
      <c r="A155" s="55"/>
    </row>
    <row r="156" spans="1:1" x14ac:dyDescent="0.2">
      <c r="A156" s="55"/>
    </row>
    <row r="157" spans="1:1" x14ac:dyDescent="0.2">
      <c r="A157" s="55"/>
    </row>
    <row r="158" spans="1:1" x14ac:dyDescent="0.2">
      <c r="A158" s="55"/>
    </row>
    <row r="159" spans="1:1" x14ac:dyDescent="0.2">
      <c r="A159" s="55"/>
    </row>
    <row r="160" spans="1:1" x14ac:dyDescent="0.2">
      <c r="A160" s="55"/>
    </row>
    <row r="161" spans="1:1" x14ac:dyDescent="0.2">
      <c r="A161" s="55"/>
    </row>
    <row r="162" spans="1:1" x14ac:dyDescent="0.2">
      <c r="A162" s="55"/>
    </row>
    <row r="163" spans="1:1" x14ac:dyDescent="0.2">
      <c r="A163" s="55"/>
    </row>
    <row r="164" spans="1:1" x14ac:dyDescent="0.2">
      <c r="A164" s="55"/>
    </row>
    <row r="165" spans="1:1" x14ac:dyDescent="0.2">
      <c r="A165" s="55"/>
    </row>
    <row r="166" spans="1:1" x14ac:dyDescent="0.2">
      <c r="A166" s="55"/>
    </row>
    <row r="167" spans="1:1" x14ac:dyDescent="0.2">
      <c r="A167" s="55"/>
    </row>
    <row r="168" spans="1:1" x14ac:dyDescent="0.2">
      <c r="A168" s="55"/>
    </row>
    <row r="169" spans="1:1" x14ac:dyDescent="0.2">
      <c r="A169" s="55"/>
    </row>
    <row r="170" spans="1:1" x14ac:dyDescent="0.2">
      <c r="A170" s="55"/>
    </row>
    <row r="171" spans="1:1" x14ac:dyDescent="0.2">
      <c r="A171" s="55"/>
    </row>
    <row r="172" spans="1:1" x14ac:dyDescent="0.2">
      <c r="A172" s="55"/>
    </row>
    <row r="173" spans="1:1" x14ac:dyDescent="0.2">
      <c r="A173" s="55"/>
    </row>
    <row r="174" spans="1:1" x14ac:dyDescent="0.2">
      <c r="A174" s="55"/>
    </row>
    <row r="175" spans="1:1" x14ac:dyDescent="0.2">
      <c r="A175" s="55"/>
    </row>
    <row r="176" spans="1:1" x14ac:dyDescent="0.2">
      <c r="A176" s="55"/>
    </row>
    <row r="177" spans="1:1" x14ac:dyDescent="0.2">
      <c r="A177" s="55"/>
    </row>
    <row r="178" spans="1:1" x14ac:dyDescent="0.2">
      <c r="A178" s="55"/>
    </row>
    <row r="179" spans="1:1" x14ac:dyDescent="0.2">
      <c r="A179" s="55"/>
    </row>
    <row r="180" spans="1:1" x14ac:dyDescent="0.2">
      <c r="A180" s="55"/>
    </row>
    <row r="181" spans="1:1" x14ac:dyDescent="0.2">
      <c r="A181" s="55"/>
    </row>
    <row r="182" spans="1:1" x14ac:dyDescent="0.2">
      <c r="A182" s="55"/>
    </row>
    <row r="183" spans="1:1" x14ac:dyDescent="0.2">
      <c r="A183" s="55"/>
    </row>
    <row r="184" spans="1:1" x14ac:dyDescent="0.2">
      <c r="A184" s="55"/>
    </row>
    <row r="185" spans="1:1" x14ac:dyDescent="0.2">
      <c r="A185" s="55"/>
    </row>
    <row r="186" spans="1:1" x14ac:dyDescent="0.2">
      <c r="A186" s="55"/>
    </row>
    <row r="187" spans="1:1" x14ac:dyDescent="0.2">
      <c r="A187" s="55"/>
    </row>
    <row r="188" spans="1:1" x14ac:dyDescent="0.2">
      <c r="A188" s="55"/>
    </row>
    <row r="189" spans="1:1" x14ac:dyDescent="0.2">
      <c r="A189" s="55"/>
    </row>
    <row r="190" spans="1:1" x14ac:dyDescent="0.2">
      <c r="A190" s="55"/>
    </row>
    <row r="191" spans="1:1" x14ac:dyDescent="0.2">
      <c r="A191" s="55"/>
    </row>
    <row r="192" spans="1:1" x14ac:dyDescent="0.2">
      <c r="A192" s="55"/>
    </row>
    <row r="193" spans="1:1" x14ac:dyDescent="0.2">
      <c r="A193" s="55"/>
    </row>
    <row r="194" spans="1:1" x14ac:dyDescent="0.2">
      <c r="A194" s="55"/>
    </row>
    <row r="195" spans="1:1" x14ac:dyDescent="0.2">
      <c r="A195" s="55"/>
    </row>
    <row r="196" spans="1:1" x14ac:dyDescent="0.2">
      <c r="A196" s="55"/>
    </row>
    <row r="197" spans="1:1" x14ac:dyDescent="0.2">
      <c r="A197" s="55"/>
    </row>
    <row r="198" spans="1:1" x14ac:dyDescent="0.2">
      <c r="A198" s="55"/>
    </row>
    <row r="199" spans="1:1" x14ac:dyDescent="0.2">
      <c r="A199" s="55"/>
    </row>
    <row r="200" spans="1:1" x14ac:dyDescent="0.2">
      <c r="A200" s="55"/>
    </row>
    <row r="201" spans="1:1" x14ac:dyDescent="0.2">
      <c r="A201" s="55"/>
    </row>
    <row r="202" spans="1:1" x14ac:dyDescent="0.2">
      <c r="A202" s="55"/>
    </row>
    <row r="203" spans="1:1" x14ac:dyDescent="0.2">
      <c r="A203" s="55"/>
    </row>
    <row r="204" spans="1:1" x14ac:dyDescent="0.2">
      <c r="A204" s="55"/>
    </row>
    <row r="205" spans="1:1" x14ac:dyDescent="0.2">
      <c r="A205" s="55"/>
    </row>
    <row r="206" spans="1:1" x14ac:dyDescent="0.2">
      <c r="A206" s="55"/>
    </row>
    <row r="207" spans="1:1" x14ac:dyDescent="0.2">
      <c r="A207" s="55"/>
    </row>
    <row r="208" spans="1:1" x14ac:dyDescent="0.2">
      <c r="A208" s="55"/>
    </row>
    <row r="209" spans="1:1" x14ac:dyDescent="0.2">
      <c r="A209" s="55"/>
    </row>
    <row r="210" spans="1:1" x14ac:dyDescent="0.2">
      <c r="A210" s="55"/>
    </row>
    <row r="211" spans="1:1" x14ac:dyDescent="0.2">
      <c r="A211" s="55"/>
    </row>
    <row r="212" spans="1:1" x14ac:dyDescent="0.2">
      <c r="A212" s="55"/>
    </row>
    <row r="213" spans="1:1" x14ac:dyDescent="0.2">
      <c r="A213" s="55"/>
    </row>
    <row r="214" spans="1:1" x14ac:dyDescent="0.2">
      <c r="A214" s="55"/>
    </row>
    <row r="215" spans="1:1" x14ac:dyDescent="0.2">
      <c r="A215" s="55"/>
    </row>
    <row r="216" spans="1:1" x14ac:dyDescent="0.2">
      <c r="A216" s="55"/>
    </row>
    <row r="217" spans="1:1" x14ac:dyDescent="0.2">
      <c r="A217" s="55"/>
    </row>
    <row r="218" spans="1:1" x14ac:dyDescent="0.2">
      <c r="A218" s="55"/>
    </row>
    <row r="219" spans="1:1" x14ac:dyDescent="0.2">
      <c r="A219" s="55"/>
    </row>
    <row r="220" spans="1:1" x14ac:dyDescent="0.2">
      <c r="A220" s="55"/>
    </row>
    <row r="221" spans="1:1" x14ac:dyDescent="0.2">
      <c r="A221" s="55"/>
    </row>
    <row r="222" spans="1:1" x14ac:dyDescent="0.2">
      <c r="A222" s="55"/>
    </row>
    <row r="223" spans="1:1" x14ac:dyDescent="0.2">
      <c r="A223" s="55"/>
    </row>
    <row r="224" spans="1:1" x14ac:dyDescent="0.2">
      <c r="A224" s="55"/>
    </row>
    <row r="225" spans="1:1" x14ac:dyDescent="0.2">
      <c r="A225" s="55"/>
    </row>
    <row r="226" spans="1:1" x14ac:dyDescent="0.2">
      <c r="A226" s="55"/>
    </row>
    <row r="227" spans="1:1" x14ac:dyDescent="0.2">
      <c r="A227" s="55"/>
    </row>
    <row r="228" spans="1:1" x14ac:dyDescent="0.2">
      <c r="A228" s="55"/>
    </row>
    <row r="229" spans="1:1" x14ac:dyDescent="0.2">
      <c r="A229" s="55"/>
    </row>
    <row r="230" spans="1:1" x14ac:dyDescent="0.2">
      <c r="A230" s="55"/>
    </row>
    <row r="231" spans="1:1" x14ac:dyDescent="0.2">
      <c r="A231" s="55"/>
    </row>
    <row r="232" spans="1:1" x14ac:dyDescent="0.2">
      <c r="A232" s="55"/>
    </row>
    <row r="233" spans="1:1" x14ac:dyDescent="0.2">
      <c r="A233" s="55"/>
    </row>
    <row r="234" spans="1:1" x14ac:dyDescent="0.2">
      <c r="A234" s="55"/>
    </row>
    <row r="235" spans="1:1" x14ac:dyDescent="0.2">
      <c r="A235" s="55"/>
    </row>
    <row r="236" spans="1:1" x14ac:dyDescent="0.2">
      <c r="A236" s="55"/>
    </row>
    <row r="237" spans="1:1" x14ac:dyDescent="0.2">
      <c r="A237" s="55"/>
    </row>
    <row r="238" spans="1:1" x14ac:dyDescent="0.2">
      <c r="A238" s="55"/>
    </row>
    <row r="239" spans="1:1" x14ac:dyDescent="0.2">
      <c r="A239" s="55"/>
    </row>
    <row r="240" spans="1:1" x14ac:dyDescent="0.2">
      <c r="A240" s="55"/>
    </row>
    <row r="241" spans="1:1" x14ac:dyDescent="0.2">
      <c r="A241" s="55"/>
    </row>
    <row r="242" spans="1:1" x14ac:dyDescent="0.2">
      <c r="A242" s="55"/>
    </row>
    <row r="243" spans="1:1" x14ac:dyDescent="0.2">
      <c r="A243" s="55"/>
    </row>
    <row r="244" spans="1:1" x14ac:dyDescent="0.2">
      <c r="A244" s="55"/>
    </row>
    <row r="245" spans="1:1" x14ac:dyDescent="0.2">
      <c r="A245" s="55"/>
    </row>
    <row r="246" spans="1:1" x14ac:dyDescent="0.2">
      <c r="A246" s="55"/>
    </row>
    <row r="247" spans="1:1" x14ac:dyDescent="0.2">
      <c r="A247" s="55"/>
    </row>
    <row r="248" spans="1:1" x14ac:dyDescent="0.2">
      <c r="A248" s="55"/>
    </row>
    <row r="249" spans="1:1" x14ac:dyDescent="0.2">
      <c r="A249" s="55"/>
    </row>
    <row r="250" spans="1:1" x14ac:dyDescent="0.2">
      <c r="A250" s="55"/>
    </row>
    <row r="251" spans="1:1" x14ac:dyDescent="0.2">
      <c r="A251" s="55"/>
    </row>
    <row r="252" spans="1:1" x14ac:dyDescent="0.2">
      <c r="A252" s="55"/>
    </row>
    <row r="253" spans="1:1" x14ac:dyDescent="0.2">
      <c r="A253" s="55"/>
    </row>
    <row r="254" spans="1:1" x14ac:dyDescent="0.2">
      <c r="A254" s="55"/>
    </row>
    <row r="255" spans="1:1" x14ac:dyDescent="0.2">
      <c r="A255" s="55"/>
    </row>
    <row r="256" spans="1:1" x14ac:dyDescent="0.2">
      <c r="A256" s="55"/>
    </row>
    <row r="257" spans="1:1" x14ac:dyDescent="0.2">
      <c r="A257" s="55"/>
    </row>
    <row r="258" spans="1:1" x14ac:dyDescent="0.2">
      <c r="A258" s="55"/>
    </row>
    <row r="259" spans="1:1" x14ac:dyDescent="0.2">
      <c r="A259" s="55"/>
    </row>
    <row r="260" spans="1:1" x14ac:dyDescent="0.2">
      <c r="A260" s="55"/>
    </row>
    <row r="261" spans="1:1" x14ac:dyDescent="0.2">
      <c r="A261" s="55"/>
    </row>
    <row r="262" spans="1:1" x14ac:dyDescent="0.2">
      <c r="A262" s="55"/>
    </row>
    <row r="263" spans="1:1" x14ac:dyDescent="0.2">
      <c r="A263" s="55"/>
    </row>
    <row r="264" spans="1:1" x14ac:dyDescent="0.2">
      <c r="A264" s="55"/>
    </row>
    <row r="265" spans="1:1" x14ac:dyDescent="0.2">
      <c r="A265" s="55"/>
    </row>
    <row r="266" spans="1:1" x14ac:dyDescent="0.2">
      <c r="A266" s="55"/>
    </row>
    <row r="267" spans="1:1" x14ac:dyDescent="0.2">
      <c r="A267" s="55"/>
    </row>
    <row r="268" spans="1:1" x14ac:dyDescent="0.2">
      <c r="A268" s="55"/>
    </row>
    <row r="269" spans="1:1" x14ac:dyDescent="0.2">
      <c r="A269" s="55"/>
    </row>
    <row r="270" spans="1:1" x14ac:dyDescent="0.2">
      <c r="A270" s="55"/>
    </row>
    <row r="271" spans="1:1" x14ac:dyDescent="0.2">
      <c r="A271" s="55"/>
    </row>
    <row r="272" spans="1:1" x14ac:dyDescent="0.2">
      <c r="A272" s="55"/>
    </row>
    <row r="273" spans="1:1" x14ac:dyDescent="0.2">
      <c r="A273" s="55"/>
    </row>
    <row r="274" spans="1:1" x14ac:dyDescent="0.2">
      <c r="A274" s="55"/>
    </row>
    <row r="275" spans="1:1" x14ac:dyDescent="0.2">
      <c r="A275" s="55"/>
    </row>
    <row r="276" spans="1:1" x14ac:dyDescent="0.2">
      <c r="A276" s="55"/>
    </row>
    <row r="277" spans="1:1" x14ac:dyDescent="0.2">
      <c r="A277" s="55"/>
    </row>
    <row r="278" spans="1:1" x14ac:dyDescent="0.2">
      <c r="A278" s="55"/>
    </row>
    <row r="279" spans="1:1" x14ac:dyDescent="0.2">
      <c r="A279" s="55"/>
    </row>
    <row r="280" spans="1:1" x14ac:dyDescent="0.2">
      <c r="A280" s="55"/>
    </row>
    <row r="281" spans="1:1" x14ac:dyDescent="0.2">
      <c r="A281" s="55"/>
    </row>
    <row r="282" spans="1:1" x14ac:dyDescent="0.2">
      <c r="A282" s="55"/>
    </row>
    <row r="283" spans="1:1" x14ac:dyDescent="0.2">
      <c r="A283" s="55"/>
    </row>
    <row r="284" spans="1:1" x14ac:dyDescent="0.2">
      <c r="A284" s="55"/>
    </row>
    <row r="285" spans="1:1" x14ac:dyDescent="0.2">
      <c r="A285" s="55"/>
    </row>
    <row r="286" spans="1:1" x14ac:dyDescent="0.2">
      <c r="A286" s="55"/>
    </row>
    <row r="287" spans="1:1" x14ac:dyDescent="0.2">
      <c r="A287" s="55"/>
    </row>
    <row r="288" spans="1:1" x14ac:dyDescent="0.2">
      <c r="A288" s="55"/>
    </row>
    <row r="289" spans="1:1" x14ac:dyDescent="0.2">
      <c r="A289" s="55"/>
    </row>
    <row r="290" spans="1:1" x14ac:dyDescent="0.2">
      <c r="A290" s="55"/>
    </row>
    <row r="291" spans="1:1" x14ac:dyDescent="0.2">
      <c r="A291" s="55"/>
    </row>
    <row r="292" spans="1:1" x14ac:dyDescent="0.2">
      <c r="A292" s="55"/>
    </row>
    <row r="293" spans="1:1" x14ac:dyDescent="0.2">
      <c r="A293" s="55"/>
    </row>
    <row r="294" spans="1:1" x14ac:dyDescent="0.2">
      <c r="A294" s="55"/>
    </row>
    <row r="295" spans="1:1" x14ac:dyDescent="0.2">
      <c r="A295" s="55"/>
    </row>
    <row r="296" spans="1:1" x14ac:dyDescent="0.2">
      <c r="A296" s="55"/>
    </row>
    <row r="297" spans="1:1" x14ac:dyDescent="0.2">
      <c r="A297" s="55"/>
    </row>
    <row r="298" spans="1:1" x14ac:dyDescent="0.2">
      <c r="A298" s="55"/>
    </row>
    <row r="299" spans="1:1" x14ac:dyDescent="0.2">
      <c r="A299" s="55"/>
    </row>
    <row r="300" spans="1:1" x14ac:dyDescent="0.2">
      <c r="A300" s="55"/>
    </row>
    <row r="301" spans="1:1" x14ac:dyDescent="0.2">
      <c r="A301" s="55"/>
    </row>
    <row r="302" spans="1:1" x14ac:dyDescent="0.2">
      <c r="A302" s="55"/>
    </row>
    <row r="303" spans="1:1" x14ac:dyDescent="0.2">
      <c r="A303" s="55"/>
    </row>
    <row r="304" spans="1:1" x14ac:dyDescent="0.2">
      <c r="A304" s="55"/>
    </row>
    <row r="305" spans="1:1" x14ac:dyDescent="0.2">
      <c r="A305" s="55"/>
    </row>
    <row r="306" spans="1:1" x14ac:dyDescent="0.2">
      <c r="A306" s="55"/>
    </row>
    <row r="307" spans="1:1" x14ac:dyDescent="0.2">
      <c r="A307" s="55"/>
    </row>
    <row r="308" spans="1:1" x14ac:dyDescent="0.2">
      <c r="A308" s="55"/>
    </row>
    <row r="309" spans="1:1" x14ac:dyDescent="0.2">
      <c r="A309" s="55"/>
    </row>
    <row r="310" spans="1:1" x14ac:dyDescent="0.2">
      <c r="A310" s="55"/>
    </row>
    <row r="311" spans="1:1" x14ac:dyDescent="0.2">
      <c r="A311" s="55"/>
    </row>
    <row r="312" spans="1:1" x14ac:dyDescent="0.2">
      <c r="A312" s="55"/>
    </row>
    <row r="313" spans="1:1" x14ac:dyDescent="0.2">
      <c r="A313" s="55"/>
    </row>
    <row r="314" spans="1:1" x14ac:dyDescent="0.2">
      <c r="A314" s="55"/>
    </row>
    <row r="315" spans="1:1" x14ac:dyDescent="0.2">
      <c r="A315" s="55"/>
    </row>
    <row r="316" spans="1:1" x14ac:dyDescent="0.2">
      <c r="A316" s="55"/>
    </row>
    <row r="317" spans="1:1" x14ac:dyDescent="0.2">
      <c r="A317" s="55"/>
    </row>
    <row r="318" spans="1:1" x14ac:dyDescent="0.2">
      <c r="A318" s="55"/>
    </row>
    <row r="319" spans="1:1" x14ac:dyDescent="0.2">
      <c r="A319" s="55"/>
    </row>
    <row r="320" spans="1:1" x14ac:dyDescent="0.2">
      <c r="A320" s="55"/>
    </row>
    <row r="321" spans="1:1" x14ac:dyDescent="0.2">
      <c r="A321" s="55"/>
    </row>
    <row r="322" spans="1:1" x14ac:dyDescent="0.2">
      <c r="A322" s="55"/>
    </row>
    <row r="323" spans="1:1" x14ac:dyDescent="0.2">
      <c r="A323" s="55"/>
    </row>
    <row r="324" spans="1:1" x14ac:dyDescent="0.2">
      <c r="A324" s="55"/>
    </row>
    <row r="325" spans="1:1" x14ac:dyDescent="0.2">
      <c r="A325" s="55"/>
    </row>
    <row r="326" spans="1:1" x14ac:dyDescent="0.2">
      <c r="A326" s="55"/>
    </row>
    <row r="327" spans="1:1" x14ac:dyDescent="0.2">
      <c r="A327" s="55"/>
    </row>
    <row r="328" spans="1:1" x14ac:dyDescent="0.2">
      <c r="A328" s="55"/>
    </row>
    <row r="329" spans="1:1" x14ac:dyDescent="0.2">
      <c r="A329" s="55"/>
    </row>
    <row r="330" spans="1:1" x14ac:dyDescent="0.2">
      <c r="A330" s="55"/>
    </row>
    <row r="331" spans="1:1" x14ac:dyDescent="0.2">
      <c r="A331" s="55"/>
    </row>
    <row r="332" spans="1:1" x14ac:dyDescent="0.2">
      <c r="A332" s="55"/>
    </row>
    <row r="333" spans="1:1" x14ac:dyDescent="0.2">
      <c r="A333" s="55"/>
    </row>
    <row r="334" spans="1:1" x14ac:dyDescent="0.2">
      <c r="A334" s="55"/>
    </row>
    <row r="335" spans="1:1" x14ac:dyDescent="0.2">
      <c r="A335" s="55"/>
    </row>
    <row r="336" spans="1:1" x14ac:dyDescent="0.2">
      <c r="A336" s="55"/>
    </row>
    <row r="337" spans="1:1" x14ac:dyDescent="0.2">
      <c r="A337" s="55"/>
    </row>
    <row r="338" spans="1:1" x14ac:dyDescent="0.2">
      <c r="A338" s="55"/>
    </row>
    <row r="339" spans="1:1" x14ac:dyDescent="0.2">
      <c r="A339" s="55"/>
    </row>
    <row r="340" spans="1:1" x14ac:dyDescent="0.2">
      <c r="A340" s="55"/>
    </row>
    <row r="341" spans="1:1" x14ac:dyDescent="0.2">
      <c r="A341" s="55"/>
    </row>
    <row r="342" spans="1:1" x14ac:dyDescent="0.2">
      <c r="A342" s="55"/>
    </row>
    <row r="343" spans="1:1" x14ac:dyDescent="0.2">
      <c r="A343" s="55"/>
    </row>
    <row r="344" spans="1:1" x14ac:dyDescent="0.2">
      <c r="A344" s="55"/>
    </row>
    <row r="345" spans="1:1" x14ac:dyDescent="0.2">
      <c r="A345" s="55"/>
    </row>
    <row r="346" spans="1:1" x14ac:dyDescent="0.2">
      <c r="A346" s="55"/>
    </row>
    <row r="347" spans="1:1" x14ac:dyDescent="0.2">
      <c r="A347" s="55"/>
    </row>
    <row r="348" spans="1:1" x14ac:dyDescent="0.2">
      <c r="A348" s="55"/>
    </row>
    <row r="349" spans="1:1" x14ac:dyDescent="0.2">
      <c r="A349" s="55"/>
    </row>
    <row r="350" spans="1:1" x14ac:dyDescent="0.2">
      <c r="A350" s="55"/>
    </row>
    <row r="351" spans="1:1" x14ac:dyDescent="0.2">
      <c r="A351" s="55"/>
    </row>
    <row r="352" spans="1:1" x14ac:dyDescent="0.2">
      <c r="A352" s="55"/>
    </row>
    <row r="353" spans="1:1" x14ac:dyDescent="0.2">
      <c r="A353" s="55"/>
    </row>
    <row r="354" spans="1:1" x14ac:dyDescent="0.2">
      <c r="A354" s="55"/>
    </row>
    <row r="355" spans="1:1" x14ac:dyDescent="0.2">
      <c r="A355" s="55"/>
    </row>
    <row r="356" spans="1:1" x14ac:dyDescent="0.2">
      <c r="A356" s="55"/>
    </row>
    <row r="357" spans="1:1" x14ac:dyDescent="0.2">
      <c r="A357" s="55"/>
    </row>
    <row r="358" spans="1:1" x14ac:dyDescent="0.2">
      <c r="A358" s="55"/>
    </row>
    <row r="359" spans="1:1" x14ac:dyDescent="0.2">
      <c r="A359" s="55"/>
    </row>
    <row r="360" spans="1:1" x14ac:dyDescent="0.2">
      <c r="A360" s="55"/>
    </row>
    <row r="361" spans="1:1" x14ac:dyDescent="0.2">
      <c r="A361" s="55"/>
    </row>
    <row r="362" spans="1:1" x14ac:dyDescent="0.2">
      <c r="A362" s="55"/>
    </row>
    <row r="363" spans="1:1" x14ac:dyDescent="0.2">
      <c r="A363" s="55"/>
    </row>
    <row r="364" spans="1:1" x14ac:dyDescent="0.2">
      <c r="A364" s="55"/>
    </row>
    <row r="365" spans="1:1" x14ac:dyDescent="0.2">
      <c r="A365" s="55"/>
    </row>
    <row r="366" spans="1:1" x14ac:dyDescent="0.2">
      <c r="A366" s="55"/>
    </row>
    <row r="367" spans="1:1" x14ac:dyDescent="0.2">
      <c r="A367" s="55"/>
    </row>
    <row r="368" spans="1:1" x14ac:dyDescent="0.2">
      <c r="A368" s="55"/>
    </row>
    <row r="369" spans="1:1" x14ac:dyDescent="0.2">
      <c r="A369" s="55"/>
    </row>
    <row r="370" spans="1:1" x14ac:dyDescent="0.2">
      <c r="A370" s="55"/>
    </row>
    <row r="371" spans="1:1" x14ac:dyDescent="0.2">
      <c r="A371" s="55"/>
    </row>
    <row r="372" spans="1:1" x14ac:dyDescent="0.2">
      <c r="A372" s="55"/>
    </row>
    <row r="373" spans="1:1" x14ac:dyDescent="0.2">
      <c r="A373" s="55"/>
    </row>
    <row r="374" spans="1:1" x14ac:dyDescent="0.2">
      <c r="A374" s="55"/>
    </row>
    <row r="375" spans="1:1" x14ac:dyDescent="0.2">
      <c r="A375" s="55"/>
    </row>
    <row r="376" spans="1:1" x14ac:dyDescent="0.2">
      <c r="A376" s="55"/>
    </row>
    <row r="377" spans="1:1" x14ac:dyDescent="0.2">
      <c r="A377" s="55"/>
    </row>
    <row r="378" spans="1:1" x14ac:dyDescent="0.2">
      <c r="A378" s="55"/>
    </row>
    <row r="379" spans="1:1" x14ac:dyDescent="0.2">
      <c r="A379" s="55"/>
    </row>
    <row r="380" spans="1:1" x14ac:dyDescent="0.2">
      <c r="A380" s="55"/>
    </row>
    <row r="381" spans="1:1" x14ac:dyDescent="0.2">
      <c r="A381" s="55"/>
    </row>
    <row r="382" spans="1:1" x14ac:dyDescent="0.2">
      <c r="A382" s="55"/>
    </row>
    <row r="383" spans="1:1" x14ac:dyDescent="0.2">
      <c r="A383" s="55"/>
    </row>
    <row r="384" spans="1:1" x14ac:dyDescent="0.2">
      <c r="A384" s="55"/>
    </row>
    <row r="385" spans="1:1" x14ac:dyDescent="0.2">
      <c r="A385" s="55"/>
    </row>
    <row r="386" spans="1:1" x14ac:dyDescent="0.2">
      <c r="A386" s="55"/>
    </row>
    <row r="387" spans="1:1" x14ac:dyDescent="0.2">
      <c r="A387" s="55"/>
    </row>
    <row r="388" spans="1:1" x14ac:dyDescent="0.2">
      <c r="A388" s="55"/>
    </row>
    <row r="389" spans="1:1" x14ac:dyDescent="0.2">
      <c r="A389" s="55"/>
    </row>
    <row r="390" spans="1:1" x14ac:dyDescent="0.2">
      <c r="A390" s="55"/>
    </row>
    <row r="391" spans="1:1" x14ac:dyDescent="0.2">
      <c r="A391" s="55"/>
    </row>
    <row r="392" spans="1:1" x14ac:dyDescent="0.2">
      <c r="A392" s="55"/>
    </row>
    <row r="393" spans="1:1" x14ac:dyDescent="0.2">
      <c r="A393" s="55"/>
    </row>
    <row r="394" spans="1:1" x14ac:dyDescent="0.2">
      <c r="A394" s="55"/>
    </row>
    <row r="395" spans="1:1" x14ac:dyDescent="0.2">
      <c r="A395" s="55"/>
    </row>
    <row r="396" spans="1:1" x14ac:dyDescent="0.2">
      <c r="A396" s="55"/>
    </row>
    <row r="397" spans="1:1" x14ac:dyDescent="0.2">
      <c r="A397" s="55"/>
    </row>
    <row r="398" spans="1:1" x14ac:dyDescent="0.2">
      <c r="A398" s="55"/>
    </row>
    <row r="399" spans="1:1" x14ac:dyDescent="0.2">
      <c r="A399" s="55"/>
    </row>
    <row r="400" spans="1:1" x14ac:dyDescent="0.2">
      <c r="A400" s="55"/>
    </row>
    <row r="401" spans="1:1" x14ac:dyDescent="0.2">
      <c r="A401" s="55"/>
    </row>
    <row r="402" spans="1:1" x14ac:dyDescent="0.2">
      <c r="A402" s="55"/>
    </row>
    <row r="403" spans="1:1" x14ac:dyDescent="0.2">
      <c r="A403" s="55"/>
    </row>
    <row r="404" spans="1:1" x14ac:dyDescent="0.2">
      <c r="A404" s="55"/>
    </row>
    <row r="405" spans="1:1" x14ac:dyDescent="0.2">
      <c r="A405" s="55"/>
    </row>
    <row r="406" spans="1:1" x14ac:dyDescent="0.2">
      <c r="A406" s="55"/>
    </row>
    <row r="407" spans="1:1" x14ac:dyDescent="0.2">
      <c r="A407" s="55"/>
    </row>
    <row r="408" spans="1:1" x14ac:dyDescent="0.2">
      <c r="A408" s="55"/>
    </row>
    <row r="409" spans="1:1" x14ac:dyDescent="0.2">
      <c r="A409" s="55"/>
    </row>
    <row r="410" spans="1:1" x14ac:dyDescent="0.2">
      <c r="A410" s="55"/>
    </row>
    <row r="411" spans="1:1" x14ac:dyDescent="0.2">
      <c r="A411" s="55"/>
    </row>
    <row r="412" spans="1:1" x14ac:dyDescent="0.2">
      <c r="A412" s="55"/>
    </row>
    <row r="413" spans="1:1" x14ac:dyDescent="0.2">
      <c r="A413" s="55"/>
    </row>
    <row r="414" spans="1:1" x14ac:dyDescent="0.2">
      <c r="A414" s="55"/>
    </row>
    <row r="415" spans="1:1" x14ac:dyDescent="0.2">
      <c r="A415" s="55"/>
    </row>
    <row r="416" spans="1:1" x14ac:dyDescent="0.2">
      <c r="A416" s="55"/>
    </row>
    <row r="417" spans="1:1" x14ac:dyDescent="0.2">
      <c r="A417" s="55"/>
    </row>
    <row r="418" spans="1:1" x14ac:dyDescent="0.2">
      <c r="A418" s="55"/>
    </row>
    <row r="419" spans="1:1" x14ac:dyDescent="0.2">
      <c r="A419" s="55"/>
    </row>
    <row r="420" spans="1:1" x14ac:dyDescent="0.2">
      <c r="A420" s="55"/>
    </row>
    <row r="421" spans="1:1" x14ac:dyDescent="0.2">
      <c r="A421" s="55"/>
    </row>
    <row r="422" spans="1:1" x14ac:dyDescent="0.2">
      <c r="A422" s="55"/>
    </row>
    <row r="423" spans="1:1" x14ac:dyDescent="0.2">
      <c r="A423" s="55"/>
    </row>
    <row r="424" spans="1:1" x14ac:dyDescent="0.2">
      <c r="A424" s="55"/>
    </row>
    <row r="425" spans="1:1" x14ac:dyDescent="0.2">
      <c r="A425" s="55"/>
    </row>
    <row r="426" spans="1:1" x14ac:dyDescent="0.2">
      <c r="A426" s="55"/>
    </row>
    <row r="427" spans="1:1" x14ac:dyDescent="0.2">
      <c r="A427" s="55"/>
    </row>
    <row r="428" spans="1:1" x14ac:dyDescent="0.2">
      <c r="A428" s="55"/>
    </row>
    <row r="429" spans="1:1" x14ac:dyDescent="0.2">
      <c r="A429" s="55"/>
    </row>
    <row r="430" spans="1:1" x14ac:dyDescent="0.2">
      <c r="A430" s="55"/>
    </row>
    <row r="431" spans="1:1" x14ac:dyDescent="0.2">
      <c r="A431" s="55"/>
    </row>
    <row r="432" spans="1:1" x14ac:dyDescent="0.2">
      <c r="A432" s="55"/>
    </row>
    <row r="433" spans="1:1" x14ac:dyDescent="0.2">
      <c r="A433" s="55"/>
    </row>
    <row r="434" spans="1:1" x14ac:dyDescent="0.2">
      <c r="A434" s="55"/>
    </row>
    <row r="435" spans="1:1" x14ac:dyDescent="0.2">
      <c r="A435" s="55"/>
    </row>
    <row r="436" spans="1:1" x14ac:dyDescent="0.2">
      <c r="A436" s="55"/>
    </row>
    <row r="437" spans="1:1" x14ac:dyDescent="0.2">
      <c r="A437" s="55"/>
    </row>
    <row r="438" spans="1:1" x14ac:dyDescent="0.2">
      <c r="A438" s="55"/>
    </row>
    <row r="439" spans="1:1" x14ac:dyDescent="0.2">
      <c r="A439" s="55"/>
    </row>
    <row r="440" spans="1:1" x14ac:dyDescent="0.2">
      <c r="A440" s="55"/>
    </row>
    <row r="441" spans="1:1" x14ac:dyDescent="0.2">
      <c r="A441" s="55"/>
    </row>
    <row r="442" spans="1:1" x14ac:dyDescent="0.2">
      <c r="A442" s="55"/>
    </row>
    <row r="443" spans="1:1" x14ac:dyDescent="0.2">
      <c r="A443" s="55"/>
    </row>
    <row r="444" spans="1:1" x14ac:dyDescent="0.2">
      <c r="A444" s="55"/>
    </row>
    <row r="445" spans="1:1" x14ac:dyDescent="0.2">
      <c r="A445" s="55"/>
    </row>
    <row r="446" spans="1:1" x14ac:dyDescent="0.2">
      <c r="A446" s="55"/>
    </row>
    <row r="447" spans="1:1" x14ac:dyDescent="0.2">
      <c r="A447" s="55"/>
    </row>
    <row r="448" spans="1:1" x14ac:dyDescent="0.2">
      <c r="A448" s="55"/>
    </row>
    <row r="449" spans="1:1" x14ac:dyDescent="0.2">
      <c r="A449" s="55"/>
    </row>
    <row r="450" spans="1:1" x14ac:dyDescent="0.2">
      <c r="A450" s="55"/>
    </row>
    <row r="451" spans="1:1" x14ac:dyDescent="0.2">
      <c r="A451" s="55"/>
    </row>
    <row r="452" spans="1:1" x14ac:dyDescent="0.2">
      <c r="A452" s="55"/>
    </row>
    <row r="453" spans="1:1" x14ac:dyDescent="0.2">
      <c r="A453" s="55"/>
    </row>
    <row r="454" spans="1:1" x14ac:dyDescent="0.2">
      <c r="A454" s="55"/>
    </row>
    <row r="455" spans="1:1" x14ac:dyDescent="0.2">
      <c r="A455" s="55"/>
    </row>
    <row r="456" spans="1:1" x14ac:dyDescent="0.2">
      <c r="A456" s="55"/>
    </row>
    <row r="457" spans="1:1" x14ac:dyDescent="0.2">
      <c r="A457" s="55"/>
    </row>
    <row r="458" spans="1:1" x14ac:dyDescent="0.2">
      <c r="A458" s="55"/>
    </row>
    <row r="459" spans="1:1" x14ac:dyDescent="0.2">
      <c r="A459" s="55"/>
    </row>
    <row r="460" spans="1:1" x14ac:dyDescent="0.2">
      <c r="A460" s="55"/>
    </row>
    <row r="461" spans="1:1" x14ac:dyDescent="0.2">
      <c r="A461" s="55"/>
    </row>
    <row r="462" spans="1:1" x14ac:dyDescent="0.2">
      <c r="A462" s="55"/>
    </row>
    <row r="463" spans="1:1" x14ac:dyDescent="0.2">
      <c r="A463" s="55"/>
    </row>
    <row r="464" spans="1:1" x14ac:dyDescent="0.2">
      <c r="A464" s="55"/>
    </row>
    <row r="465" spans="1:1" x14ac:dyDescent="0.2">
      <c r="A465" s="55"/>
    </row>
    <row r="466" spans="1:1" x14ac:dyDescent="0.2">
      <c r="A466" s="55"/>
    </row>
    <row r="467" spans="1:1" x14ac:dyDescent="0.2">
      <c r="A467" s="55"/>
    </row>
    <row r="468" spans="1:1" x14ac:dyDescent="0.2">
      <c r="A468" s="55"/>
    </row>
    <row r="469" spans="1:1" x14ac:dyDescent="0.2">
      <c r="A469" s="55"/>
    </row>
    <row r="470" spans="1:1" x14ac:dyDescent="0.2">
      <c r="A470" s="55"/>
    </row>
    <row r="471" spans="1:1" x14ac:dyDescent="0.2">
      <c r="A471" s="55"/>
    </row>
    <row r="472" spans="1:1" x14ac:dyDescent="0.2">
      <c r="A472" s="55"/>
    </row>
    <row r="473" spans="1:1" x14ac:dyDescent="0.2">
      <c r="A473" s="55"/>
    </row>
    <row r="474" spans="1:1" x14ac:dyDescent="0.2">
      <c r="A474" s="55"/>
    </row>
    <row r="475" spans="1:1" x14ac:dyDescent="0.2">
      <c r="A475" s="55"/>
    </row>
    <row r="476" spans="1:1" x14ac:dyDescent="0.2">
      <c r="A476" s="55"/>
    </row>
    <row r="477" spans="1:1" x14ac:dyDescent="0.2">
      <c r="A477" s="55"/>
    </row>
    <row r="478" spans="1:1" x14ac:dyDescent="0.2">
      <c r="A478" s="55"/>
    </row>
    <row r="479" spans="1:1" x14ac:dyDescent="0.2">
      <c r="A479" s="55"/>
    </row>
    <row r="480" spans="1:1" x14ac:dyDescent="0.2">
      <c r="A480" s="55"/>
    </row>
    <row r="481" spans="1:1" x14ac:dyDescent="0.2">
      <c r="A481" s="55"/>
    </row>
    <row r="482" spans="1:1" x14ac:dyDescent="0.2">
      <c r="A482" s="55"/>
    </row>
    <row r="483" spans="1:1" x14ac:dyDescent="0.2">
      <c r="A483" s="55"/>
    </row>
    <row r="484" spans="1:1" x14ac:dyDescent="0.2">
      <c r="A484" s="55"/>
    </row>
    <row r="485" spans="1:1" x14ac:dyDescent="0.2">
      <c r="A485" s="55"/>
    </row>
    <row r="486" spans="1:1" x14ac:dyDescent="0.2">
      <c r="A486" s="55"/>
    </row>
    <row r="487" spans="1:1" x14ac:dyDescent="0.2">
      <c r="A487" s="55"/>
    </row>
    <row r="488" spans="1:1" x14ac:dyDescent="0.2">
      <c r="A488" s="55"/>
    </row>
    <row r="489" spans="1:1" x14ac:dyDescent="0.2">
      <c r="A489" s="55"/>
    </row>
    <row r="490" spans="1:1" x14ac:dyDescent="0.2">
      <c r="A490" s="55"/>
    </row>
    <row r="491" spans="1:1" x14ac:dyDescent="0.2">
      <c r="A491" s="55"/>
    </row>
    <row r="492" spans="1:1" x14ac:dyDescent="0.2">
      <c r="A492" s="55"/>
    </row>
    <row r="493" spans="1:1" x14ac:dyDescent="0.2">
      <c r="A493" s="55"/>
    </row>
    <row r="494" spans="1:1" x14ac:dyDescent="0.2">
      <c r="A494" s="55"/>
    </row>
    <row r="495" spans="1:1" x14ac:dyDescent="0.2">
      <c r="A495" s="55"/>
    </row>
    <row r="496" spans="1:1" x14ac:dyDescent="0.2">
      <c r="A496" s="55"/>
    </row>
    <row r="497" spans="1:1" x14ac:dyDescent="0.2">
      <c r="A497" s="55"/>
    </row>
    <row r="498" spans="1:1" x14ac:dyDescent="0.2">
      <c r="A498" s="55"/>
    </row>
    <row r="499" spans="1:1" x14ac:dyDescent="0.2">
      <c r="A499" s="55"/>
    </row>
    <row r="500" spans="1:1" x14ac:dyDescent="0.2">
      <c r="A500" s="55"/>
    </row>
    <row r="501" spans="1:1" x14ac:dyDescent="0.2">
      <c r="A501" s="55"/>
    </row>
    <row r="502" spans="1:1" x14ac:dyDescent="0.2">
      <c r="A502" s="55"/>
    </row>
    <row r="503" spans="1:1" x14ac:dyDescent="0.2">
      <c r="A503" s="55"/>
    </row>
    <row r="504" spans="1:1" x14ac:dyDescent="0.2">
      <c r="A504" s="55"/>
    </row>
    <row r="505" spans="1:1" x14ac:dyDescent="0.2">
      <c r="A505" s="55"/>
    </row>
    <row r="506" spans="1:1" x14ac:dyDescent="0.2">
      <c r="A506" s="55"/>
    </row>
    <row r="507" spans="1:1" x14ac:dyDescent="0.2">
      <c r="A507" s="55"/>
    </row>
    <row r="508" spans="1:1" x14ac:dyDescent="0.2">
      <c r="A508" s="55"/>
    </row>
    <row r="509" spans="1:1" x14ac:dyDescent="0.2">
      <c r="A509" s="55"/>
    </row>
    <row r="510" spans="1:1" x14ac:dyDescent="0.2">
      <c r="A510" s="55"/>
    </row>
    <row r="511" spans="1:1" x14ac:dyDescent="0.2">
      <c r="A511" s="55"/>
    </row>
    <row r="512" spans="1:1" x14ac:dyDescent="0.2">
      <c r="A512" s="55"/>
    </row>
    <row r="513" spans="1:1" x14ac:dyDescent="0.2">
      <c r="A513" s="55"/>
    </row>
    <row r="514" spans="1:1" x14ac:dyDescent="0.2">
      <c r="A514" s="55"/>
    </row>
    <row r="515" spans="1:1" x14ac:dyDescent="0.2">
      <c r="A515" s="55"/>
    </row>
    <row r="516" spans="1:1" x14ac:dyDescent="0.2">
      <c r="A516" s="55"/>
    </row>
    <row r="517" spans="1:1" x14ac:dyDescent="0.2">
      <c r="A517" s="55"/>
    </row>
    <row r="518" spans="1:1" x14ac:dyDescent="0.2">
      <c r="A518" s="55"/>
    </row>
    <row r="519" spans="1:1" x14ac:dyDescent="0.2">
      <c r="A519" s="55"/>
    </row>
    <row r="520" spans="1:1" x14ac:dyDescent="0.2">
      <c r="A520" s="55"/>
    </row>
    <row r="521" spans="1:1" x14ac:dyDescent="0.2">
      <c r="A521" s="55"/>
    </row>
    <row r="522" spans="1:1" x14ac:dyDescent="0.2">
      <c r="A522" s="55"/>
    </row>
    <row r="523" spans="1:1" x14ac:dyDescent="0.2">
      <c r="A523" s="55"/>
    </row>
    <row r="524" spans="1:1" x14ac:dyDescent="0.2">
      <c r="A524" s="55"/>
    </row>
    <row r="525" spans="1:1" x14ac:dyDescent="0.2">
      <c r="A525" s="55"/>
    </row>
    <row r="526" spans="1:1" x14ac:dyDescent="0.2">
      <c r="A526" s="55"/>
    </row>
    <row r="527" spans="1:1" x14ac:dyDescent="0.2">
      <c r="A527" s="55"/>
    </row>
    <row r="528" spans="1:1" x14ac:dyDescent="0.2">
      <c r="A528" s="55"/>
    </row>
    <row r="529" spans="1:1" x14ac:dyDescent="0.2">
      <c r="A529" s="55"/>
    </row>
    <row r="530" spans="1:1" x14ac:dyDescent="0.2">
      <c r="A530" s="55"/>
    </row>
    <row r="531" spans="1:1" x14ac:dyDescent="0.2">
      <c r="A531" s="55"/>
    </row>
    <row r="532" spans="1:1" x14ac:dyDescent="0.2">
      <c r="A532" s="55"/>
    </row>
    <row r="533" spans="1:1" x14ac:dyDescent="0.2">
      <c r="A533" s="55"/>
    </row>
    <row r="534" spans="1:1" x14ac:dyDescent="0.2">
      <c r="A534" s="55"/>
    </row>
    <row r="535" spans="1:1" x14ac:dyDescent="0.2">
      <c r="A535" s="55"/>
    </row>
    <row r="536" spans="1:1" x14ac:dyDescent="0.2">
      <c r="A536" s="55"/>
    </row>
    <row r="537" spans="1:1" x14ac:dyDescent="0.2">
      <c r="A537" s="55"/>
    </row>
    <row r="538" spans="1:1" x14ac:dyDescent="0.2">
      <c r="A538" s="55"/>
    </row>
    <row r="539" spans="1:1" x14ac:dyDescent="0.2">
      <c r="A539" s="55"/>
    </row>
    <row r="540" spans="1:1" x14ac:dyDescent="0.2">
      <c r="A540" s="55"/>
    </row>
    <row r="541" spans="1:1" x14ac:dyDescent="0.2">
      <c r="A541" s="55"/>
    </row>
    <row r="542" spans="1:1" x14ac:dyDescent="0.2">
      <c r="A542" s="55"/>
    </row>
    <row r="543" spans="1:1" x14ac:dyDescent="0.2">
      <c r="A543" s="55"/>
    </row>
    <row r="544" spans="1:1" x14ac:dyDescent="0.2">
      <c r="A544" s="55"/>
    </row>
    <row r="545" spans="1:1" x14ac:dyDescent="0.2">
      <c r="A545" s="55"/>
    </row>
    <row r="546" spans="1:1" x14ac:dyDescent="0.2">
      <c r="A546" s="55"/>
    </row>
    <row r="547" spans="1:1" x14ac:dyDescent="0.2">
      <c r="A547" s="55"/>
    </row>
    <row r="548" spans="1:1" x14ac:dyDescent="0.2">
      <c r="A548" s="55"/>
    </row>
    <row r="549" spans="1:1" x14ac:dyDescent="0.2">
      <c r="A549" s="55"/>
    </row>
    <row r="550" spans="1:1" x14ac:dyDescent="0.2">
      <c r="A550" s="55"/>
    </row>
    <row r="551" spans="1:1" x14ac:dyDescent="0.2">
      <c r="A551" s="55"/>
    </row>
    <row r="552" spans="1:1" x14ac:dyDescent="0.2">
      <c r="A552" s="55"/>
    </row>
    <row r="553" spans="1:1" x14ac:dyDescent="0.2">
      <c r="A553" s="55"/>
    </row>
    <row r="554" spans="1:1" x14ac:dyDescent="0.2">
      <c r="A554" s="55"/>
    </row>
    <row r="555" spans="1:1" x14ac:dyDescent="0.2">
      <c r="A555" s="55"/>
    </row>
    <row r="556" spans="1:1" x14ac:dyDescent="0.2">
      <c r="A556" s="55"/>
    </row>
    <row r="557" spans="1:1" x14ac:dyDescent="0.2">
      <c r="A557" s="55"/>
    </row>
    <row r="558" spans="1:1" x14ac:dyDescent="0.2">
      <c r="A558" s="55"/>
    </row>
    <row r="559" spans="1:1" x14ac:dyDescent="0.2">
      <c r="A559" s="55"/>
    </row>
    <row r="560" spans="1:1" x14ac:dyDescent="0.2">
      <c r="A560" s="55"/>
    </row>
    <row r="561" spans="1:1" x14ac:dyDescent="0.2">
      <c r="A561" s="55"/>
    </row>
    <row r="562" spans="1:1" x14ac:dyDescent="0.2">
      <c r="A562" s="55"/>
    </row>
    <row r="563" spans="1:1" x14ac:dyDescent="0.2">
      <c r="A563" s="55"/>
    </row>
    <row r="564" spans="1:1" x14ac:dyDescent="0.2">
      <c r="A564" s="55"/>
    </row>
    <row r="565" spans="1:1" x14ac:dyDescent="0.2">
      <c r="A565" s="55"/>
    </row>
    <row r="566" spans="1:1" x14ac:dyDescent="0.2">
      <c r="A566" s="55"/>
    </row>
    <row r="567" spans="1:1" x14ac:dyDescent="0.2">
      <c r="A567" s="55"/>
    </row>
    <row r="568" spans="1:1" x14ac:dyDescent="0.2">
      <c r="A568" s="55"/>
    </row>
    <row r="569" spans="1:1" x14ac:dyDescent="0.2">
      <c r="A569" s="55"/>
    </row>
    <row r="570" spans="1:1" x14ac:dyDescent="0.2">
      <c r="A570" s="55"/>
    </row>
    <row r="571" spans="1:1" x14ac:dyDescent="0.2">
      <c r="A571" s="55"/>
    </row>
    <row r="572" spans="1:1" x14ac:dyDescent="0.2">
      <c r="A572" s="55"/>
    </row>
    <row r="573" spans="1:1" x14ac:dyDescent="0.2">
      <c r="A573" s="55"/>
    </row>
    <row r="574" spans="1:1" x14ac:dyDescent="0.2">
      <c r="A574" s="55"/>
    </row>
    <row r="575" spans="1:1" x14ac:dyDescent="0.2">
      <c r="A575" s="55"/>
    </row>
    <row r="576" spans="1:1" x14ac:dyDescent="0.2">
      <c r="A576" s="55"/>
    </row>
    <row r="577" spans="1:1" x14ac:dyDescent="0.2">
      <c r="A577" s="55"/>
    </row>
    <row r="578" spans="1:1" x14ac:dyDescent="0.2">
      <c r="A578" s="55"/>
    </row>
    <row r="579" spans="1:1" x14ac:dyDescent="0.2">
      <c r="A579" s="55"/>
    </row>
    <row r="580" spans="1:1" x14ac:dyDescent="0.2">
      <c r="A580" s="55"/>
    </row>
    <row r="581" spans="1:1" x14ac:dyDescent="0.2">
      <c r="A581" s="55"/>
    </row>
    <row r="582" spans="1:1" x14ac:dyDescent="0.2">
      <c r="A582" s="55"/>
    </row>
    <row r="583" spans="1:1" x14ac:dyDescent="0.2">
      <c r="A583" s="55"/>
    </row>
    <row r="584" spans="1:1" x14ac:dyDescent="0.2">
      <c r="A584" s="55"/>
    </row>
    <row r="585" spans="1:1" x14ac:dyDescent="0.2">
      <c r="A585" s="55"/>
    </row>
    <row r="586" spans="1:1" x14ac:dyDescent="0.2">
      <c r="A586" s="55"/>
    </row>
    <row r="587" spans="1:1" x14ac:dyDescent="0.2">
      <c r="A587" s="55"/>
    </row>
    <row r="588" spans="1:1" x14ac:dyDescent="0.2">
      <c r="A588" s="55"/>
    </row>
    <row r="589" spans="1:1" x14ac:dyDescent="0.2">
      <c r="A589" s="55"/>
    </row>
    <row r="590" spans="1:1" x14ac:dyDescent="0.2">
      <c r="A590" s="55"/>
    </row>
    <row r="591" spans="1:1" x14ac:dyDescent="0.2">
      <c r="A591" s="55"/>
    </row>
    <row r="592" spans="1:1" x14ac:dyDescent="0.2">
      <c r="A592" s="55"/>
    </row>
    <row r="593" spans="1:1" x14ac:dyDescent="0.2">
      <c r="A593" s="55"/>
    </row>
    <row r="594" spans="1:1" x14ac:dyDescent="0.2">
      <c r="A594" s="55"/>
    </row>
    <row r="595" spans="1:1" x14ac:dyDescent="0.2">
      <c r="A595" s="55"/>
    </row>
    <row r="596" spans="1:1" x14ac:dyDescent="0.2">
      <c r="A596" s="55"/>
    </row>
    <row r="597" spans="1:1" x14ac:dyDescent="0.2">
      <c r="A597" s="55"/>
    </row>
    <row r="598" spans="1:1" x14ac:dyDescent="0.2">
      <c r="A598" s="55"/>
    </row>
    <row r="599" spans="1:1" x14ac:dyDescent="0.2">
      <c r="A599" s="55"/>
    </row>
    <row r="600" spans="1:1" x14ac:dyDescent="0.2">
      <c r="A600" s="55"/>
    </row>
    <row r="601" spans="1:1" x14ac:dyDescent="0.2">
      <c r="A601" s="55"/>
    </row>
    <row r="602" spans="1:1" x14ac:dyDescent="0.2">
      <c r="A602" s="55"/>
    </row>
    <row r="603" spans="1:1" x14ac:dyDescent="0.2">
      <c r="A603" s="55"/>
    </row>
    <row r="604" spans="1:1" x14ac:dyDescent="0.2">
      <c r="A604" s="55"/>
    </row>
    <row r="605" spans="1:1" x14ac:dyDescent="0.2">
      <c r="A605" s="55"/>
    </row>
    <row r="606" spans="1:1" x14ac:dyDescent="0.2">
      <c r="A606" s="55"/>
    </row>
    <row r="607" spans="1:1" x14ac:dyDescent="0.2">
      <c r="A607" s="55"/>
    </row>
    <row r="608" spans="1:1" x14ac:dyDescent="0.2">
      <c r="A608" s="55"/>
    </row>
    <row r="609" spans="1:1" x14ac:dyDescent="0.2">
      <c r="A609" s="55"/>
    </row>
    <row r="610" spans="1:1" x14ac:dyDescent="0.2">
      <c r="A610" s="55"/>
    </row>
    <row r="611" spans="1:1" x14ac:dyDescent="0.2">
      <c r="A611" s="55"/>
    </row>
    <row r="612" spans="1:1" x14ac:dyDescent="0.2">
      <c r="A612" s="55"/>
    </row>
    <row r="613" spans="1:1" x14ac:dyDescent="0.2">
      <c r="A613" s="55"/>
    </row>
    <row r="614" spans="1:1" x14ac:dyDescent="0.2">
      <c r="A614" s="55"/>
    </row>
    <row r="615" spans="1:1" x14ac:dyDescent="0.2">
      <c r="A615" s="55"/>
    </row>
    <row r="616" spans="1:1" x14ac:dyDescent="0.2">
      <c r="A616" s="55"/>
    </row>
    <row r="617" spans="1:1" x14ac:dyDescent="0.2">
      <c r="A617" s="55"/>
    </row>
    <row r="618" spans="1:1" x14ac:dyDescent="0.2">
      <c r="A618" s="55"/>
    </row>
    <row r="619" spans="1:1" x14ac:dyDescent="0.2">
      <c r="A619" s="55"/>
    </row>
    <row r="620" spans="1:1" x14ac:dyDescent="0.2">
      <c r="A620" s="55"/>
    </row>
    <row r="621" spans="1:1" x14ac:dyDescent="0.2">
      <c r="A621" s="55"/>
    </row>
    <row r="622" spans="1:1" x14ac:dyDescent="0.2">
      <c r="A622" s="55"/>
    </row>
    <row r="623" spans="1:1" x14ac:dyDescent="0.2">
      <c r="A623" s="55"/>
    </row>
    <row r="624" spans="1:1" x14ac:dyDescent="0.2">
      <c r="A624" s="55"/>
    </row>
    <row r="625" spans="1:1" x14ac:dyDescent="0.2">
      <c r="A625" s="55"/>
    </row>
    <row r="626" spans="1:1" x14ac:dyDescent="0.2">
      <c r="A626" s="55"/>
    </row>
    <row r="627" spans="1:1" x14ac:dyDescent="0.2">
      <c r="A627" s="55"/>
    </row>
    <row r="628" spans="1:1" x14ac:dyDescent="0.2">
      <c r="A628" s="55"/>
    </row>
    <row r="629" spans="1:1" x14ac:dyDescent="0.2">
      <c r="A629" s="55"/>
    </row>
    <row r="630" spans="1:1" x14ac:dyDescent="0.2">
      <c r="A630" s="55"/>
    </row>
    <row r="631" spans="1:1" x14ac:dyDescent="0.2">
      <c r="A631" s="55"/>
    </row>
    <row r="632" spans="1:1" x14ac:dyDescent="0.2">
      <c r="A632" s="55"/>
    </row>
    <row r="633" spans="1:1" x14ac:dyDescent="0.2">
      <c r="A633" s="55"/>
    </row>
    <row r="634" spans="1:1" x14ac:dyDescent="0.2">
      <c r="A634" s="55"/>
    </row>
    <row r="635" spans="1:1" x14ac:dyDescent="0.2">
      <c r="A635" s="55"/>
    </row>
    <row r="636" spans="1:1" x14ac:dyDescent="0.2">
      <c r="A636" s="55"/>
    </row>
    <row r="637" spans="1:1" x14ac:dyDescent="0.2">
      <c r="A637" s="55"/>
    </row>
    <row r="638" spans="1:1" x14ac:dyDescent="0.2">
      <c r="A638" s="55"/>
    </row>
    <row r="639" spans="1:1" x14ac:dyDescent="0.2">
      <c r="A639" s="55"/>
    </row>
    <row r="640" spans="1:1" x14ac:dyDescent="0.2">
      <c r="A640" s="55"/>
    </row>
    <row r="641" spans="1:1" x14ac:dyDescent="0.2">
      <c r="A641" s="55"/>
    </row>
    <row r="642" spans="1:1" x14ac:dyDescent="0.2">
      <c r="A642" s="55"/>
    </row>
    <row r="643" spans="1:1" x14ac:dyDescent="0.2">
      <c r="A643" s="55"/>
    </row>
    <row r="644" spans="1:1" x14ac:dyDescent="0.2">
      <c r="A644" s="55"/>
    </row>
    <row r="645" spans="1:1" x14ac:dyDescent="0.2">
      <c r="A645" s="55"/>
    </row>
    <row r="646" spans="1:1" x14ac:dyDescent="0.2">
      <c r="A646" s="55"/>
    </row>
    <row r="647" spans="1:1" x14ac:dyDescent="0.2">
      <c r="A647" s="55"/>
    </row>
    <row r="648" spans="1:1" x14ac:dyDescent="0.2">
      <c r="A648" s="55"/>
    </row>
    <row r="649" spans="1:1" x14ac:dyDescent="0.2">
      <c r="A649" s="55"/>
    </row>
    <row r="650" spans="1:1" x14ac:dyDescent="0.2">
      <c r="A650" s="55"/>
    </row>
    <row r="651" spans="1:1" x14ac:dyDescent="0.2">
      <c r="A651" s="55"/>
    </row>
    <row r="652" spans="1:1" x14ac:dyDescent="0.2">
      <c r="A652" s="55"/>
    </row>
    <row r="653" spans="1:1" x14ac:dyDescent="0.2">
      <c r="A653" s="55"/>
    </row>
    <row r="654" spans="1:1" x14ac:dyDescent="0.2">
      <c r="A654" s="55"/>
    </row>
    <row r="655" spans="1:1" x14ac:dyDescent="0.2">
      <c r="A655" s="55"/>
    </row>
    <row r="656" spans="1:1" x14ac:dyDescent="0.2">
      <c r="A656" s="55"/>
    </row>
    <row r="657" spans="1:1" x14ac:dyDescent="0.2">
      <c r="A657" s="55"/>
    </row>
    <row r="658" spans="1:1" x14ac:dyDescent="0.2">
      <c r="A658" s="55"/>
    </row>
    <row r="659" spans="1:1" x14ac:dyDescent="0.2">
      <c r="A659" s="55"/>
    </row>
    <row r="660" spans="1:1" x14ac:dyDescent="0.2">
      <c r="A660" s="55"/>
    </row>
    <row r="661" spans="1:1" x14ac:dyDescent="0.2">
      <c r="A661" s="55"/>
    </row>
    <row r="662" spans="1:1" x14ac:dyDescent="0.2">
      <c r="A662" s="55"/>
    </row>
    <row r="663" spans="1:1" x14ac:dyDescent="0.2">
      <c r="A663" s="55"/>
    </row>
    <row r="664" spans="1:1" x14ac:dyDescent="0.2">
      <c r="A664" s="55"/>
    </row>
    <row r="665" spans="1:1" x14ac:dyDescent="0.2">
      <c r="A665" s="55"/>
    </row>
    <row r="666" spans="1:1" x14ac:dyDescent="0.2">
      <c r="A666" s="55"/>
    </row>
    <row r="667" spans="1:1" x14ac:dyDescent="0.2">
      <c r="A667" s="55"/>
    </row>
    <row r="668" spans="1:1" x14ac:dyDescent="0.2">
      <c r="A668" s="55"/>
    </row>
    <row r="669" spans="1:1" x14ac:dyDescent="0.2">
      <c r="A669" s="55"/>
    </row>
    <row r="670" spans="1:1" x14ac:dyDescent="0.2">
      <c r="A670" s="55"/>
    </row>
    <row r="671" spans="1:1" x14ac:dyDescent="0.2">
      <c r="A671" s="55"/>
    </row>
    <row r="672" spans="1:1" x14ac:dyDescent="0.2">
      <c r="A672" s="55"/>
    </row>
    <row r="673" spans="1:1" x14ac:dyDescent="0.2">
      <c r="A673" s="55"/>
    </row>
    <row r="674" spans="1:1" x14ac:dyDescent="0.2">
      <c r="A674" s="55"/>
    </row>
    <row r="675" spans="1:1" x14ac:dyDescent="0.2">
      <c r="A675" s="55"/>
    </row>
    <row r="676" spans="1:1" x14ac:dyDescent="0.2">
      <c r="A676" s="55"/>
    </row>
    <row r="677" spans="1:1" x14ac:dyDescent="0.2">
      <c r="A677" s="55"/>
    </row>
    <row r="678" spans="1:1" x14ac:dyDescent="0.2">
      <c r="A678" s="55"/>
    </row>
    <row r="679" spans="1:1" x14ac:dyDescent="0.2">
      <c r="A679" s="55"/>
    </row>
    <row r="680" spans="1:1" x14ac:dyDescent="0.2">
      <c r="A680" s="55"/>
    </row>
    <row r="681" spans="1:1" x14ac:dyDescent="0.2">
      <c r="A681" s="55"/>
    </row>
    <row r="682" spans="1:1" x14ac:dyDescent="0.2">
      <c r="A682" s="55"/>
    </row>
    <row r="683" spans="1:1" x14ac:dyDescent="0.2">
      <c r="A683" s="55"/>
    </row>
    <row r="684" spans="1:1" x14ac:dyDescent="0.2">
      <c r="A684" s="55"/>
    </row>
    <row r="685" spans="1:1" x14ac:dyDescent="0.2">
      <c r="A685" s="55"/>
    </row>
    <row r="686" spans="1:1" x14ac:dyDescent="0.2">
      <c r="A686" s="55"/>
    </row>
    <row r="687" spans="1:1" x14ac:dyDescent="0.2">
      <c r="A687" s="55"/>
    </row>
    <row r="688" spans="1:1" x14ac:dyDescent="0.2">
      <c r="A688" s="55"/>
    </row>
    <row r="689" spans="1:1" x14ac:dyDescent="0.2">
      <c r="A689" s="55"/>
    </row>
    <row r="690" spans="1:1" x14ac:dyDescent="0.2">
      <c r="A690" s="55"/>
    </row>
    <row r="691" spans="1:1" x14ac:dyDescent="0.2">
      <c r="A691" s="55"/>
    </row>
    <row r="692" spans="1:1" x14ac:dyDescent="0.2">
      <c r="A692" s="55"/>
    </row>
    <row r="693" spans="1:1" x14ac:dyDescent="0.2">
      <c r="A693" s="55"/>
    </row>
    <row r="694" spans="1:1" x14ac:dyDescent="0.2">
      <c r="A694" s="55"/>
    </row>
    <row r="695" spans="1:1" x14ac:dyDescent="0.2">
      <c r="A695" s="55"/>
    </row>
    <row r="696" spans="1:1" x14ac:dyDescent="0.2">
      <c r="A696" s="55"/>
    </row>
    <row r="697" spans="1:1" x14ac:dyDescent="0.2">
      <c r="A697" s="55"/>
    </row>
    <row r="698" spans="1:1" x14ac:dyDescent="0.2">
      <c r="A698" s="55"/>
    </row>
    <row r="699" spans="1:1" x14ac:dyDescent="0.2">
      <c r="A699" s="55"/>
    </row>
    <row r="700" spans="1:1" x14ac:dyDescent="0.2">
      <c r="A700" s="55"/>
    </row>
    <row r="701" spans="1:1" x14ac:dyDescent="0.2">
      <c r="A701" s="55"/>
    </row>
    <row r="702" spans="1:1" x14ac:dyDescent="0.2">
      <c r="A702" s="55"/>
    </row>
    <row r="703" spans="1:1" x14ac:dyDescent="0.2">
      <c r="A703" s="55"/>
    </row>
    <row r="704" spans="1:1" x14ac:dyDescent="0.2">
      <c r="A704" s="55"/>
    </row>
    <row r="705" spans="1:1" x14ac:dyDescent="0.2">
      <c r="A705" s="55"/>
    </row>
    <row r="706" spans="1:1" x14ac:dyDescent="0.2">
      <c r="A706" s="55"/>
    </row>
    <row r="707" spans="1:1" x14ac:dyDescent="0.2">
      <c r="A707" s="55"/>
    </row>
    <row r="708" spans="1:1" x14ac:dyDescent="0.2">
      <c r="A708" s="55"/>
    </row>
    <row r="709" spans="1:1" x14ac:dyDescent="0.2">
      <c r="A709" s="55"/>
    </row>
    <row r="710" spans="1:1" x14ac:dyDescent="0.2">
      <c r="A710" s="55"/>
    </row>
    <row r="711" spans="1:1" x14ac:dyDescent="0.2">
      <c r="A711" s="55"/>
    </row>
    <row r="712" spans="1:1" x14ac:dyDescent="0.2">
      <c r="A712" s="55"/>
    </row>
    <row r="713" spans="1:1" x14ac:dyDescent="0.2">
      <c r="A713" s="55"/>
    </row>
    <row r="714" spans="1:1" x14ac:dyDescent="0.2">
      <c r="A714" s="55"/>
    </row>
    <row r="715" spans="1:1" x14ac:dyDescent="0.2">
      <c r="A715" s="55"/>
    </row>
    <row r="716" spans="1:1" x14ac:dyDescent="0.2">
      <c r="A716" s="55"/>
    </row>
    <row r="717" spans="1:1" x14ac:dyDescent="0.2">
      <c r="A717" s="55"/>
    </row>
    <row r="718" spans="1:1" x14ac:dyDescent="0.2">
      <c r="A718" s="55"/>
    </row>
    <row r="719" spans="1:1" x14ac:dyDescent="0.2">
      <c r="A719" s="55"/>
    </row>
    <row r="720" spans="1:1" x14ac:dyDescent="0.2">
      <c r="A720" s="55"/>
    </row>
    <row r="721" spans="1:1" x14ac:dyDescent="0.2">
      <c r="A721" s="55"/>
    </row>
    <row r="722" spans="1:1" x14ac:dyDescent="0.2">
      <c r="A722" s="55"/>
    </row>
    <row r="723" spans="1:1" x14ac:dyDescent="0.2">
      <c r="A723" s="55"/>
    </row>
    <row r="724" spans="1:1" x14ac:dyDescent="0.2">
      <c r="A724" s="55"/>
    </row>
    <row r="725" spans="1:1" x14ac:dyDescent="0.2">
      <c r="A725" s="55"/>
    </row>
    <row r="726" spans="1:1" x14ac:dyDescent="0.2">
      <c r="A726" s="55"/>
    </row>
    <row r="727" spans="1:1" x14ac:dyDescent="0.2">
      <c r="A727" s="55"/>
    </row>
    <row r="728" spans="1:1" x14ac:dyDescent="0.2">
      <c r="A728" s="55"/>
    </row>
    <row r="729" spans="1:1" x14ac:dyDescent="0.2">
      <c r="A729" s="55"/>
    </row>
    <row r="730" spans="1:1" x14ac:dyDescent="0.2">
      <c r="A730" s="55"/>
    </row>
    <row r="731" spans="1:1" x14ac:dyDescent="0.2">
      <c r="A731" s="55"/>
    </row>
    <row r="732" spans="1:1" x14ac:dyDescent="0.2">
      <c r="A732" s="55"/>
    </row>
    <row r="733" spans="1:1" x14ac:dyDescent="0.2">
      <c r="A733" s="55"/>
    </row>
    <row r="734" spans="1:1" x14ac:dyDescent="0.2">
      <c r="A734" s="55"/>
    </row>
    <row r="735" spans="1:1" x14ac:dyDescent="0.2">
      <c r="A735" s="55"/>
    </row>
    <row r="736" spans="1:1" x14ac:dyDescent="0.2">
      <c r="A736" s="55"/>
    </row>
    <row r="737" spans="1:1" x14ac:dyDescent="0.2">
      <c r="A737" s="55"/>
    </row>
    <row r="738" spans="1:1" x14ac:dyDescent="0.2">
      <c r="A738" s="55"/>
    </row>
    <row r="739" spans="1:1" x14ac:dyDescent="0.2">
      <c r="A739" s="55"/>
    </row>
    <row r="740" spans="1:1" x14ac:dyDescent="0.2">
      <c r="A740" s="55"/>
    </row>
    <row r="741" spans="1:1" x14ac:dyDescent="0.2">
      <c r="A741" s="55"/>
    </row>
    <row r="742" spans="1:1" x14ac:dyDescent="0.2">
      <c r="A742" s="55"/>
    </row>
    <row r="743" spans="1:1" x14ac:dyDescent="0.2">
      <c r="A743" s="55"/>
    </row>
    <row r="744" spans="1:1" x14ac:dyDescent="0.2">
      <c r="A744" s="55"/>
    </row>
    <row r="745" spans="1:1" x14ac:dyDescent="0.2">
      <c r="A745" s="55"/>
    </row>
    <row r="746" spans="1:1" x14ac:dyDescent="0.2">
      <c r="A746" s="55"/>
    </row>
    <row r="747" spans="1:1" x14ac:dyDescent="0.2">
      <c r="A747" s="55"/>
    </row>
    <row r="748" spans="1:1" x14ac:dyDescent="0.2">
      <c r="A748" s="55"/>
    </row>
    <row r="749" spans="1:1" x14ac:dyDescent="0.2">
      <c r="A749" s="55"/>
    </row>
    <row r="750" spans="1:1" x14ac:dyDescent="0.2">
      <c r="A750" s="55"/>
    </row>
    <row r="751" spans="1:1" x14ac:dyDescent="0.2">
      <c r="A751" s="55"/>
    </row>
    <row r="752" spans="1:1" x14ac:dyDescent="0.2">
      <c r="A752" s="55"/>
    </row>
    <row r="753" spans="1:1" x14ac:dyDescent="0.2">
      <c r="A753" s="55"/>
    </row>
    <row r="754" spans="1:1" x14ac:dyDescent="0.2">
      <c r="A754" s="55"/>
    </row>
    <row r="755" spans="1:1" x14ac:dyDescent="0.2">
      <c r="A755" s="55"/>
    </row>
    <row r="756" spans="1:1" x14ac:dyDescent="0.2">
      <c r="A756" s="55"/>
    </row>
    <row r="757" spans="1:1" x14ac:dyDescent="0.2">
      <c r="A757" s="55"/>
    </row>
    <row r="758" spans="1:1" x14ac:dyDescent="0.2">
      <c r="A758" s="55"/>
    </row>
    <row r="759" spans="1:1" x14ac:dyDescent="0.2">
      <c r="A759" s="55"/>
    </row>
    <row r="760" spans="1:1" x14ac:dyDescent="0.2">
      <c r="A760" s="55"/>
    </row>
    <row r="761" spans="1:1" x14ac:dyDescent="0.2">
      <c r="A761" s="55"/>
    </row>
    <row r="762" spans="1:1" x14ac:dyDescent="0.2">
      <c r="A762" s="55"/>
    </row>
    <row r="763" spans="1:1" x14ac:dyDescent="0.2">
      <c r="A763" s="55"/>
    </row>
    <row r="764" spans="1:1" x14ac:dyDescent="0.2">
      <c r="A764" s="55"/>
    </row>
    <row r="765" spans="1:1" x14ac:dyDescent="0.2">
      <c r="A765" s="55"/>
    </row>
    <row r="766" spans="1:1" x14ac:dyDescent="0.2">
      <c r="A766" s="55"/>
    </row>
    <row r="767" spans="1:1" x14ac:dyDescent="0.2">
      <c r="A767" s="55"/>
    </row>
    <row r="768" spans="1:1" x14ac:dyDescent="0.2">
      <c r="A768" s="55"/>
    </row>
    <row r="769" spans="1:1" x14ac:dyDescent="0.2">
      <c r="A769" s="55"/>
    </row>
    <row r="770" spans="1:1" x14ac:dyDescent="0.2">
      <c r="A770" s="55"/>
    </row>
    <row r="771" spans="1:1" x14ac:dyDescent="0.2">
      <c r="A771" s="55"/>
    </row>
    <row r="772" spans="1:1" x14ac:dyDescent="0.2">
      <c r="A772" s="55"/>
    </row>
    <row r="773" spans="1:1" x14ac:dyDescent="0.2">
      <c r="A773" s="55"/>
    </row>
    <row r="774" spans="1:1" x14ac:dyDescent="0.2">
      <c r="A774" s="55"/>
    </row>
    <row r="775" spans="1:1" x14ac:dyDescent="0.2">
      <c r="A775" s="55"/>
    </row>
    <row r="776" spans="1:1" x14ac:dyDescent="0.2">
      <c r="A776" s="55"/>
    </row>
    <row r="777" spans="1:1" x14ac:dyDescent="0.2">
      <c r="A777" s="55"/>
    </row>
    <row r="778" spans="1:1" x14ac:dyDescent="0.2">
      <c r="A778" s="55"/>
    </row>
    <row r="779" spans="1:1" x14ac:dyDescent="0.2">
      <c r="A779" s="55"/>
    </row>
    <row r="780" spans="1:1" x14ac:dyDescent="0.2">
      <c r="A780" s="55"/>
    </row>
    <row r="781" spans="1:1" x14ac:dyDescent="0.2">
      <c r="A781" s="55"/>
    </row>
    <row r="782" spans="1:1" x14ac:dyDescent="0.2">
      <c r="A782" s="55"/>
    </row>
    <row r="783" spans="1:1" x14ac:dyDescent="0.2">
      <c r="A783" s="55"/>
    </row>
    <row r="784" spans="1:1" x14ac:dyDescent="0.2">
      <c r="A784" s="55"/>
    </row>
    <row r="785" spans="1:1" x14ac:dyDescent="0.2">
      <c r="A785" s="55"/>
    </row>
    <row r="786" spans="1:1" x14ac:dyDescent="0.2">
      <c r="A786" s="55"/>
    </row>
    <row r="787" spans="1:1" x14ac:dyDescent="0.2">
      <c r="A787" s="55"/>
    </row>
    <row r="788" spans="1:1" x14ac:dyDescent="0.2">
      <c r="A788" s="55"/>
    </row>
    <row r="789" spans="1:1" x14ac:dyDescent="0.2">
      <c r="A789" s="55"/>
    </row>
    <row r="790" spans="1:1" x14ac:dyDescent="0.2">
      <c r="A790" s="55"/>
    </row>
    <row r="791" spans="1:1" x14ac:dyDescent="0.2">
      <c r="A791" s="55"/>
    </row>
    <row r="792" spans="1:1" x14ac:dyDescent="0.2">
      <c r="A792" s="55"/>
    </row>
    <row r="793" spans="1:1" x14ac:dyDescent="0.2">
      <c r="A793" s="55"/>
    </row>
    <row r="794" spans="1:1" x14ac:dyDescent="0.2">
      <c r="A794" s="55"/>
    </row>
    <row r="795" spans="1:1" x14ac:dyDescent="0.2">
      <c r="A795" s="55"/>
    </row>
    <row r="796" spans="1:1" x14ac:dyDescent="0.2">
      <c r="A796" s="55"/>
    </row>
    <row r="797" spans="1:1" x14ac:dyDescent="0.2">
      <c r="A797" s="55"/>
    </row>
    <row r="798" spans="1:1" x14ac:dyDescent="0.2">
      <c r="A798" s="55"/>
    </row>
    <row r="799" spans="1:1" x14ac:dyDescent="0.2">
      <c r="A799" s="55"/>
    </row>
    <row r="800" spans="1:1" x14ac:dyDescent="0.2">
      <c r="A800" s="55"/>
    </row>
    <row r="801" spans="1:1" x14ac:dyDescent="0.2">
      <c r="A801" s="55"/>
    </row>
    <row r="802" spans="1:1" x14ac:dyDescent="0.2">
      <c r="A802" s="55"/>
    </row>
    <row r="803" spans="1:1" x14ac:dyDescent="0.2">
      <c r="A803" s="55"/>
    </row>
    <row r="804" spans="1:1" x14ac:dyDescent="0.2">
      <c r="A804" s="55"/>
    </row>
    <row r="805" spans="1:1" x14ac:dyDescent="0.2">
      <c r="A805" s="55"/>
    </row>
    <row r="806" spans="1:1" x14ac:dyDescent="0.2">
      <c r="A806" s="55"/>
    </row>
    <row r="807" spans="1:1" x14ac:dyDescent="0.2">
      <c r="A807" s="55"/>
    </row>
    <row r="808" spans="1:1" x14ac:dyDescent="0.2">
      <c r="A808" s="55"/>
    </row>
    <row r="809" spans="1:1" x14ac:dyDescent="0.2">
      <c r="A809" s="55"/>
    </row>
    <row r="810" spans="1:1" x14ac:dyDescent="0.2">
      <c r="A810" s="55"/>
    </row>
    <row r="811" spans="1:1" x14ac:dyDescent="0.2">
      <c r="A811" s="55"/>
    </row>
    <row r="812" spans="1:1" x14ac:dyDescent="0.2">
      <c r="A812" s="55"/>
    </row>
    <row r="813" spans="1:1" x14ac:dyDescent="0.2">
      <c r="A813" s="55"/>
    </row>
    <row r="814" spans="1:1" x14ac:dyDescent="0.2">
      <c r="A814" s="55"/>
    </row>
    <row r="815" spans="1:1" x14ac:dyDescent="0.2">
      <c r="A815" s="55"/>
    </row>
    <row r="816" spans="1:1" x14ac:dyDescent="0.2">
      <c r="A816" s="55"/>
    </row>
    <row r="817" spans="1:1" x14ac:dyDescent="0.2">
      <c r="A817" s="55"/>
    </row>
    <row r="818" spans="1:1" x14ac:dyDescent="0.2">
      <c r="A818" s="55"/>
    </row>
    <row r="819" spans="1:1" x14ac:dyDescent="0.2">
      <c r="A819" s="55"/>
    </row>
    <row r="820" spans="1:1" x14ac:dyDescent="0.2">
      <c r="A820" s="55"/>
    </row>
    <row r="821" spans="1:1" x14ac:dyDescent="0.2">
      <c r="A821" s="55"/>
    </row>
    <row r="822" spans="1:1" x14ac:dyDescent="0.2">
      <c r="A822" s="55"/>
    </row>
    <row r="823" spans="1:1" x14ac:dyDescent="0.2">
      <c r="A823" s="55"/>
    </row>
    <row r="824" spans="1:1" x14ac:dyDescent="0.2">
      <c r="A824" s="55"/>
    </row>
    <row r="825" spans="1:1" x14ac:dyDescent="0.2">
      <c r="A825" s="55"/>
    </row>
    <row r="826" spans="1:1" x14ac:dyDescent="0.2">
      <c r="A826" s="55"/>
    </row>
    <row r="827" spans="1:1" x14ac:dyDescent="0.2">
      <c r="A827" s="55"/>
    </row>
    <row r="828" spans="1:1" x14ac:dyDescent="0.2">
      <c r="A828" s="55"/>
    </row>
    <row r="829" spans="1:1" x14ac:dyDescent="0.2">
      <c r="A829" s="55"/>
    </row>
    <row r="830" spans="1:1" x14ac:dyDescent="0.2">
      <c r="A830" s="55"/>
    </row>
    <row r="831" spans="1:1" x14ac:dyDescent="0.2">
      <c r="A831" s="55"/>
    </row>
    <row r="832" spans="1:1" x14ac:dyDescent="0.2">
      <c r="A832" s="55"/>
    </row>
    <row r="833" spans="1:1" x14ac:dyDescent="0.2">
      <c r="A833" s="55"/>
    </row>
    <row r="834" spans="1:1" x14ac:dyDescent="0.2">
      <c r="A834" s="55"/>
    </row>
    <row r="835" spans="1:1" x14ac:dyDescent="0.2">
      <c r="A835" s="55"/>
    </row>
    <row r="836" spans="1:1" x14ac:dyDescent="0.2">
      <c r="A836" s="55"/>
    </row>
    <row r="837" spans="1:1" x14ac:dyDescent="0.2">
      <c r="A837" s="55"/>
    </row>
    <row r="838" spans="1:1" x14ac:dyDescent="0.2">
      <c r="A838" s="55"/>
    </row>
    <row r="839" spans="1:1" x14ac:dyDescent="0.2">
      <c r="A839" s="55"/>
    </row>
    <row r="840" spans="1:1" x14ac:dyDescent="0.2">
      <c r="A840" s="55"/>
    </row>
    <row r="841" spans="1:1" x14ac:dyDescent="0.2">
      <c r="A841" s="55"/>
    </row>
    <row r="842" spans="1:1" x14ac:dyDescent="0.2">
      <c r="A842" s="55"/>
    </row>
    <row r="843" spans="1:1" x14ac:dyDescent="0.2">
      <c r="A843" s="55"/>
    </row>
    <row r="844" spans="1:1" x14ac:dyDescent="0.2">
      <c r="A844" s="55"/>
    </row>
    <row r="845" spans="1:1" x14ac:dyDescent="0.2">
      <c r="A845" s="55"/>
    </row>
    <row r="846" spans="1:1" x14ac:dyDescent="0.2">
      <c r="A846" s="55"/>
    </row>
    <row r="847" spans="1:1" x14ac:dyDescent="0.2">
      <c r="A847" s="55"/>
    </row>
    <row r="848" spans="1:1" x14ac:dyDescent="0.2">
      <c r="A848" s="55"/>
    </row>
    <row r="849" spans="1:1" x14ac:dyDescent="0.2">
      <c r="A849" s="55"/>
    </row>
    <row r="850" spans="1:1" x14ac:dyDescent="0.2">
      <c r="A850" s="55"/>
    </row>
    <row r="851" spans="1:1" x14ac:dyDescent="0.2">
      <c r="A851" s="55"/>
    </row>
    <row r="852" spans="1:1" x14ac:dyDescent="0.2">
      <c r="A852" s="55"/>
    </row>
    <row r="853" spans="1:1" x14ac:dyDescent="0.2">
      <c r="A853" s="55"/>
    </row>
    <row r="854" spans="1:1" x14ac:dyDescent="0.2">
      <c r="A854" s="55"/>
    </row>
    <row r="855" spans="1:1" x14ac:dyDescent="0.2">
      <c r="A855" s="55"/>
    </row>
    <row r="856" spans="1:1" x14ac:dyDescent="0.2">
      <c r="A856" s="55"/>
    </row>
    <row r="857" spans="1:1" x14ac:dyDescent="0.2">
      <c r="A857" s="55"/>
    </row>
    <row r="858" spans="1:1" x14ac:dyDescent="0.2">
      <c r="A858" s="55"/>
    </row>
    <row r="859" spans="1:1" x14ac:dyDescent="0.2">
      <c r="A859" s="55"/>
    </row>
    <row r="860" spans="1:1" x14ac:dyDescent="0.2">
      <c r="A860" s="55"/>
    </row>
    <row r="861" spans="1:1" x14ac:dyDescent="0.2">
      <c r="A861" s="55"/>
    </row>
    <row r="862" spans="1:1" x14ac:dyDescent="0.2">
      <c r="A862" s="55"/>
    </row>
    <row r="863" spans="1:1" x14ac:dyDescent="0.2">
      <c r="A863" s="55"/>
    </row>
    <row r="864" spans="1:1" x14ac:dyDescent="0.2">
      <c r="A864" s="55"/>
    </row>
    <row r="865" spans="1:1" x14ac:dyDescent="0.2">
      <c r="A865" s="55"/>
    </row>
    <row r="866" spans="1:1" x14ac:dyDescent="0.2">
      <c r="A866" s="55"/>
    </row>
    <row r="867" spans="1:1" x14ac:dyDescent="0.2">
      <c r="A867" s="55"/>
    </row>
    <row r="868" spans="1:1" x14ac:dyDescent="0.2">
      <c r="A868" s="55"/>
    </row>
    <row r="869" spans="1:1" x14ac:dyDescent="0.2">
      <c r="A869" s="55"/>
    </row>
    <row r="870" spans="1:1" x14ac:dyDescent="0.2">
      <c r="A870" s="55"/>
    </row>
    <row r="871" spans="1:1" x14ac:dyDescent="0.2">
      <c r="A871" s="55"/>
    </row>
    <row r="872" spans="1:1" x14ac:dyDescent="0.2">
      <c r="A872" s="55"/>
    </row>
    <row r="873" spans="1:1" x14ac:dyDescent="0.2">
      <c r="A873" s="55"/>
    </row>
    <row r="874" spans="1:1" x14ac:dyDescent="0.2">
      <c r="A874" s="55"/>
    </row>
    <row r="875" spans="1:1" x14ac:dyDescent="0.2">
      <c r="A875" s="55"/>
    </row>
    <row r="876" spans="1:1" x14ac:dyDescent="0.2">
      <c r="A876" s="55"/>
    </row>
    <row r="877" spans="1:1" x14ac:dyDescent="0.2">
      <c r="A877" s="55"/>
    </row>
    <row r="878" spans="1:1" x14ac:dyDescent="0.2">
      <c r="A878" s="55"/>
    </row>
    <row r="879" spans="1:1" x14ac:dyDescent="0.2">
      <c r="A879" s="55"/>
    </row>
    <row r="880" spans="1:1" x14ac:dyDescent="0.2">
      <c r="A880" s="55"/>
    </row>
    <row r="881" spans="1:1" x14ac:dyDescent="0.2">
      <c r="A881" s="55"/>
    </row>
    <row r="882" spans="1:1" x14ac:dyDescent="0.2">
      <c r="A882" s="55"/>
    </row>
    <row r="883" spans="1:1" x14ac:dyDescent="0.2">
      <c r="A883" s="55"/>
    </row>
    <row r="884" spans="1:1" x14ac:dyDescent="0.2">
      <c r="A884" s="55"/>
    </row>
    <row r="885" spans="1:1" x14ac:dyDescent="0.2">
      <c r="A885" s="55"/>
    </row>
    <row r="886" spans="1:1" x14ac:dyDescent="0.2">
      <c r="A886" s="55"/>
    </row>
    <row r="887" spans="1:1" x14ac:dyDescent="0.2">
      <c r="A887" s="55"/>
    </row>
    <row r="888" spans="1:1" x14ac:dyDescent="0.2">
      <c r="A888" s="55"/>
    </row>
    <row r="889" spans="1:1" x14ac:dyDescent="0.2">
      <c r="A889" s="55"/>
    </row>
    <row r="890" spans="1:1" x14ac:dyDescent="0.2">
      <c r="A890" s="55"/>
    </row>
    <row r="891" spans="1:1" x14ac:dyDescent="0.2">
      <c r="A891" s="55"/>
    </row>
    <row r="892" spans="1:1" x14ac:dyDescent="0.2">
      <c r="A892" s="55"/>
    </row>
    <row r="893" spans="1:1" x14ac:dyDescent="0.2">
      <c r="A893" s="55"/>
    </row>
    <row r="894" spans="1:1" x14ac:dyDescent="0.2">
      <c r="A894" s="55"/>
    </row>
    <row r="895" spans="1:1" x14ac:dyDescent="0.2">
      <c r="A895" s="55"/>
    </row>
    <row r="896" spans="1:1" x14ac:dyDescent="0.2">
      <c r="A896" s="55"/>
    </row>
    <row r="897" spans="1:1" x14ac:dyDescent="0.2">
      <c r="A897" s="55"/>
    </row>
    <row r="898" spans="1:1" x14ac:dyDescent="0.2">
      <c r="A898" s="55"/>
    </row>
    <row r="899" spans="1:1" x14ac:dyDescent="0.2">
      <c r="A899" s="55"/>
    </row>
    <row r="900" spans="1:1" x14ac:dyDescent="0.2">
      <c r="A900" s="55"/>
    </row>
    <row r="901" spans="1:1" x14ac:dyDescent="0.2">
      <c r="A901" s="55"/>
    </row>
    <row r="902" spans="1:1" x14ac:dyDescent="0.2">
      <c r="A902" s="55"/>
    </row>
    <row r="903" spans="1:1" x14ac:dyDescent="0.2">
      <c r="A903" s="55"/>
    </row>
    <row r="904" spans="1:1" x14ac:dyDescent="0.2">
      <c r="A904" s="55"/>
    </row>
    <row r="905" spans="1:1" x14ac:dyDescent="0.2">
      <c r="A905" s="55"/>
    </row>
    <row r="906" spans="1:1" x14ac:dyDescent="0.2">
      <c r="A906" s="55"/>
    </row>
    <row r="907" spans="1:1" x14ac:dyDescent="0.2">
      <c r="A907" s="55"/>
    </row>
    <row r="908" spans="1:1" x14ac:dyDescent="0.2">
      <c r="A908" s="55"/>
    </row>
    <row r="909" spans="1:1" x14ac:dyDescent="0.2">
      <c r="A909" s="55"/>
    </row>
    <row r="910" spans="1:1" x14ac:dyDescent="0.2">
      <c r="A910" s="55"/>
    </row>
    <row r="911" spans="1:1" x14ac:dyDescent="0.2">
      <c r="A911" s="55"/>
    </row>
    <row r="912" spans="1:1" x14ac:dyDescent="0.2">
      <c r="A912" s="55"/>
    </row>
    <row r="913" spans="1:1" x14ac:dyDescent="0.2">
      <c r="A913" s="55"/>
    </row>
    <row r="914" spans="1:1" x14ac:dyDescent="0.2">
      <c r="A914" s="55"/>
    </row>
    <row r="915" spans="1:1" x14ac:dyDescent="0.2">
      <c r="A915" s="55"/>
    </row>
    <row r="916" spans="1:1" x14ac:dyDescent="0.2">
      <c r="A916" s="55"/>
    </row>
    <row r="917" spans="1:1" x14ac:dyDescent="0.2">
      <c r="A917" s="55"/>
    </row>
    <row r="918" spans="1:1" x14ac:dyDescent="0.2">
      <c r="A918" s="55"/>
    </row>
    <row r="919" spans="1:1" x14ac:dyDescent="0.2">
      <c r="A919" s="55"/>
    </row>
    <row r="920" spans="1:1" x14ac:dyDescent="0.2">
      <c r="A920" s="55"/>
    </row>
    <row r="921" spans="1:1" x14ac:dyDescent="0.2">
      <c r="A921" s="55"/>
    </row>
    <row r="922" spans="1:1" x14ac:dyDescent="0.2">
      <c r="A922" s="55"/>
    </row>
    <row r="923" spans="1:1" x14ac:dyDescent="0.2">
      <c r="A923" s="55"/>
    </row>
    <row r="924" spans="1:1" x14ac:dyDescent="0.2">
      <c r="A924" s="55"/>
    </row>
    <row r="925" spans="1:1" x14ac:dyDescent="0.2">
      <c r="A925" s="55"/>
    </row>
    <row r="926" spans="1:1" x14ac:dyDescent="0.2">
      <c r="A926" s="55"/>
    </row>
    <row r="927" spans="1:1" x14ac:dyDescent="0.2">
      <c r="A927" s="55"/>
    </row>
    <row r="928" spans="1:1" x14ac:dyDescent="0.2">
      <c r="A928" s="55"/>
    </row>
    <row r="929" spans="1:1" x14ac:dyDescent="0.2">
      <c r="A929" s="55"/>
    </row>
    <row r="930" spans="1:1" x14ac:dyDescent="0.2">
      <c r="A930" s="55"/>
    </row>
    <row r="931" spans="1:1" x14ac:dyDescent="0.2">
      <c r="A931" s="55"/>
    </row>
    <row r="932" spans="1:1" x14ac:dyDescent="0.2">
      <c r="A932" s="55"/>
    </row>
    <row r="933" spans="1:1" x14ac:dyDescent="0.2">
      <c r="A933" s="55"/>
    </row>
    <row r="934" spans="1:1" x14ac:dyDescent="0.2">
      <c r="A934" s="55"/>
    </row>
    <row r="935" spans="1:1" x14ac:dyDescent="0.2">
      <c r="A935" s="55"/>
    </row>
    <row r="936" spans="1:1" x14ac:dyDescent="0.2">
      <c r="A936" s="55"/>
    </row>
    <row r="937" spans="1:1" x14ac:dyDescent="0.2">
      <c r="A937" s="55"/>
    </row>
    <row r="938" spans="1:1" x14ac:dyDescent="0.2">
      <c r="A938" s="55"/>
    </row>
    <row r="939" spans="1:1" x14ac:dyDescent="0.2">
      <c r="A939" s="55"/>
    </row>
    <row r="940" spans="1:1" x14ac:dyDescent="0.2">
      <c r="A940" s="55"/>
    </row>
    <row r="941" spans="1:1" x14ac:dyDescent="0.2">
      <c r="A941" s="55"/>
    </row>
    <row r="942" spans="1:1" x14ac:dyDescent="0.2">
      <c r="A942" s="55"/>
    </row>
    <row r="943" spans="1:1" x14ac:dyDescent="0.2">
      <c r="A943" s="55"/>
    </row>
    <row r="944" spans="1:1" x14ac:dyDescent="0.2">
      <c r="A944" s="55"/>
    </row>
    <row r="945" spans="1:1" x14ac:dyDescent="0.2">
      <c r="A945" s="55"/>
    </row>
    <row r="946" spans="1:1" x14ac:dyDescent="0.2">
      <c r="A946" s="55"/>
    </row>
    <row r="947" spans="1:1" x14ac:dyDescent="0.2">
      <c r="A947" s="55"/>
    </row>
    <row r="948" spans="1:1" x14ac:dyDescent="0.2">
      <c r="A948" s="55"/>
    </row>
    <row r="949" spans="1:1" x14ac:dyDescent="0.2">
      <c r="A949" s="55"/>
    </row>
    <row r="950" spans="1:1" x14ac:dyDescent="0.2">
      <c r="A950" s="55"/>
    </row>
    <row r="951" spans="1:1" x14ac:dyDescent="0.2">
      <c r="A951" s="55"/>
    </row>
    <row r="952" spans="1:1" x14ac:dyDescent="0.2">
      <c r="A952" s="55"/>
    </row>
    <row r="953" spans="1:1" x14ac:dyDescent="0.2">
      <c r="A953" s="55"/>
    </row>
    <row r="954" spans="1:1" x14ac:dyDescent="0.2">
      <c r="A954" s="55"/>
    </row>
    <row r="955" spans="1:1" x14ac:dyDescent="0.2">
      <c r="A955" s="55"/>
    </row>
    <row r="956" spans="1:1" x14ac:dyDescent="0.2">
      <c r="A956" s="55"/>
    </row>
    <row r="957" spans="1:1" x14ac:dyDescent="0.2">
      <c r="A957" s="55"/>
    </row>
    <row r="958" spans="1:1" x14ac:dyDescent="0.2">
      <c r="A958" s="55"/>
    </row>
    <row r="959" spans="1:1" x14ac:dyDescent="0.2">
      <c r="A959" s="55"/>
    </row>
    <row r="960" spans="1:1" x14ac:dyDescent="0.2">
      <c r="A960" s="55"/>
    </row>
    <row r="961" spans="1:1" x14ac:dyDescent="0.2">
      <c r="A961" s="55"/>
    </row>
    <row r="962" spans="1:1" x14ac:dyDescent="0.2">
      <c r="A962" s="55"/>
    </row>
    <row r="963" spans="1:1" x14ac:dyDescent="0.2">
      <c r="A963" s="55"/>
    </row>
    <row r="964" spans="1:1" x14ac:dyDescent="0.2">
      <c r="A964" s="55"/>
    </row>
    <row r="965" spans="1:1" x14ac:dyDescent="0.2">
      <c r="A965" s="55"/>
    </row>
    <row r="966" spans="1:1" x14ac:dyDescent="0.2">
      <c r="A966" s="55"/>
    </row>
    <row r="967" spans="1:1" x14ac:dyDescent="0.2">
      <c r="A967" s="55"/>
    </row>
    <row r="968" spans="1:1" x14ac:dyDescent="0.2">
      <c r="A968" s="55"/>
    </row>
    <row r="969" spans="1:1" x14ac:dyDescent="0.2">
      <c r="A969" s="55"/>
    </row>
    <row r="970" spans="1:1" x14ac:dyDescent="0.2">
      <c r="A970" s="55"/>
    </row>
    <row r="971" spans="1:1" x14ac:dyDescent="0.2">
      <c r="A971" s="55"/>
    </row>
    <row r="972" spans="1:1" x14ac:dyDescent="0.2">
      <c r="A972" s="55"/>
    </row>
    <row r="973" spans="1:1" x14ac:dyDescent="0.2">
      <c r="A973" s="55"/>
    </row>
    <row r="974" spans="1:1" x14ac:dyDescent="0.2">
      <c r="A974" s="55"/>
    </row>
    <row r="975" spans="1:1" x14ac:dyDescent="0.2">
      <c r="A975" s="55"/>
    </row>
    <row r="976" spans="1:1" x14ac:dyDescent="0.2">
      <c r="A976" s="55"/>
    </row>
    <row r="977" spans="1:1" x14ac:dyDescent="0.2">
      <c r="A977" s="55"/>
    </row>
    <row r="978" spans="1:1" x14ac:dyDescent="0.2">
      <c r="A978" s="55"/>
    </row>
    <row r="979" spans="1:1" x14ac:dyDescent="0.2">
      <c r="A979" s="55"/>
    </row>
    <row r="980" spans="1:1" x14ac:dyDescent="0.2">
      <c r="A980" s="55"/>
    </row>
    <row r="981" spans="1:1" x14ac:dyDescent="0.2">
      <c r="A981" s="55"/>
    </row>
    <row r="982" spans="1:1" x14ac:dyDescent="0.2">
      <c r="A982" s="55"/>
    </row>
    <row r="983" spans="1:1" x14ac:dyDescent="0.2">
      <c r="A983" s="55"/>
    </row>
    <row r="984" spans="1:1" x14ac:dyDescent="0.2">
      <c r="A984" s="55"/>
    </row>
    <row r="985" spans="1:1" x14ac:dyDescent="0.2">
      <c r="A985" s="55"/>
    </row>
    <row r="986" spans="1:1" x14ac:dyDescent="0.2">
      <c r="A986" s="55"/>
    </row>
    <row r="987" spans="1:1" x14ac:dyDescent="0.2">
      <c r="A987" s="55"/>
    </row>
    <row r="988" spans="1:1" x14ac:dyDescent="0.2">
      <c r="A988" s="55"/>
    </row>
    <row r="989" spans="1:1" x14ac:dyDescent="0.2">
      <c r="A989" s="55"/>
    </row>
    <row r="990" spans="1:1" x14ac:dyDescent="0.2">
      <c r="A990" s="55"/>
    </row>
    <row r="991" spans="1:1" x14ac:dyDescent="0.2">
      <c r="A991" s="55"/>
    </row>
    <row r="992" spans="1:1" x14ac:dyDescent="0.2">
      <c r="A992" s="55"/>
    </row>
    <row r="993" spans="1:1" x14ac:dyDescent="0.2">
      <c r="A993" s="55"/>
    </row>
    <row r="994" spans="1:1" x14ac:dyDescent="0.2">
      <c r="A994" s="55"/>
    </row>
    <row r="995" spans="1:1" x14ac:dyDescent="0.2">
      <c r="A995" s="55"/>
    </row>
    <row r="996" spans="1:1" x14ac:dyDescent="0.2">
      <c r="A996" s="55"/>
    </row>
    <row r="997" spans="1:1" x14ac:dyDescent="0.2">
      <c r="A997" s="55"/>
    </row>
    <row r="998" spans="1:1" x14ac:dyDescent="0.2">
      <c r="A998" s="55"/>
    </row>
    <row r="999" spans="1:1" x14ac:dyDescent="0.2">
      <c r="A999" s="55"/>
    </row>
    <row r="1000" spans="1:1" x14ac:dyDescent="0.2">
      <c r="A1000" s="55"/>
    </row>
    <row r="1001" spans="1:1" x14ac:dyDescent="0.2">
      <c r="A1001" s="55"/>
    </row>
    <row r="1002" spans="1:1" x14ac:dyDescent="0.2">
      <c r="A1002" s="55"/>
    </row>
    <row r="1003" spans="1:1" x14ac:dyDescent="0.2">
      <c r="A1003" s="55"/>
    </row>
    <row r="1004" spans="1:1" x14ac:dyDescent="0.2">
      <c r="A1004" s="55"/>
    </row>
    <row r="1005" spans="1:1" x14ac:dyDescent="0.2">
      <c r="A1005" s="55"/>
    </row>
    <row r="1006" spans="1:1" x14ac:dyDescent="0.2">
      <c r="A1006" s="55"/>
    </row>
    <row r="1007" spans="1:1" x14ac:dyDescent="0.2">
      <c r="A1007" s="55"/>
    </row>
    <row r="1008" spans="1:1" x14ac:dyDescent="0.2">
      <c r="A1008" s="55"/>
    </row>
    <row r="1009" spans="1:1" x14ac:dyDescent="0.2">
      <c r="A1009" s="55"/>
    </row>
    <row r="1010" spans="1:1" x14ac:dyDescent="0.2">
      <c r="A1010" s="55"/>
    </row>
    <row r="1011" spans="1:1" x14ac:dyDescent="0.2">
      <c r="A1011" s="55"/>
    </row>
    <row r="1012" spans="1:1" x14ac:dyDescent="0.2">
      <c r="A1012" s="55"/>
    </row>
    <row r="1013" spans="1:1" x14ac:dyDescent="0.2">
      <c r="A1013" s="55"/>
    </row>
    <row r="1014" spans="1:1" x14ac:dyDescent="0.2">
      <c r="A1014" s="55"/>
    </row>
    <row r="1015" spans="1:1" x14ac:dyDescent="0.2">
      <c r="A1015" s="55"/>
    </row>
    <row r="1016" spans="1:1" x14ac:dyDescent="0.2">
      <c r="A1016" s="55"/>
    </row>
    <row r="1017" spans="1:1" x14ac:dyDescent="0.2">
      <c r="A1017" s="55"/>
    </row>
    <row r="1018" spans="1:1" x14ac:dyDescent="0.2">
      <c r="A1018" s="55"/>
    </row>
    <row r="1019" spans="1:1" x14ac:dyDescent="0.2">
      <c r="A1019" s="55"/>
    </row>
    <row r="1020" spans="1:1" x14ac:dyDescent="0.2">
      <c r="A1020" s="55"/>
    </row>
    <row r="1021" spans="1:1" x14ac:dyDescent="0.2">
      <c r="A1021" s="55"/>
    </row>
    <row r="1022" spans="1:1" x14ac:dyDescent="0.2">
      <c r="A1022" s="55"/>
    </row>
    <row r="1023" spans="1:1" x14ac:dyDescent="0.2">
      <c r="A1023" s="55"/>
    </row>
    <row r="1024" spans="1:1" x14ac:dyDescent="0.2">
      <c r="A1024" s="55"/>
    </row>
    <row r="1025" spans="1:1" x14ac:dyDescent="0.2">
      <c r="A1025" s="55"/>
    </row>
    <row r="1026" spans="1:1" x14ac:dyDescent="0.2">
      <c r="A1026" s="55"/>
    </row>
    <row r="1027" spans="1:1" x14ac:dyDescent="0.2">
      <c r="A1027" s="55"/>
    </row>
    <row r="1028" spans="1:1" x14ac:dyDescent="0.2">
      <c r="A1028" s="55"/>
    </row>
    <row r="1029" spans="1:1" x14ac:dyDescent="0.2">
      <c r="A1029" s="55"/>
    </row>
    <row r="1030" spans="1:1" x14ac:dyDescent="0.2">
      <c r="A1030" s="55"/>
    </row>
    <row r="1031" spans="1:1" x14ac:dyDescent="0.2">
      <c r="A1031" s="55"/>
    </row>
    <row r="1032" spans="1:1" x14ac:dyDescent="0.2">
      <c r="A1032" s="55"/>
    </row>
    <row r="1033" spans="1:1" x14ac:dyDescent="0.2">
      <c r="A1033" s="55"/>
    </row>
    <row r="1034" spans="1:1" x14ac:dyDescent="0.2">
      <c r="A1034" s="55"/>
    </row>
    <row r="1035" spans="1:1" x14ac:dyDescent="0.2">
      <c r="A1035" s="55"/>
    </row>
    <row r="1036" spans="1:1" x14ac:dyDescent="0.2">
      <c r="A1036" s="55"/>
    </row>
    <row r="1037" spans="1:1" x14ac:dyDescent="0.2">
      <c r="A1037" s="55"/>
    </row>
    <row r="1038" spans="1:1" x14ac:dyDescent="0.2">
      <c r="A1038" s="55"/>
    </row>
    <row r="1039" spans="1:1" x14ac:dyDescent="0.2">
      <c r="A1039" s="55"/>
    </row>
    <row r="1040" spans="1:1" x14ac:dyDescent="0.2">
      <c r="A1040" s="55"/>
    </row>
    <row r="1041" spans="1:1" x14ac:dyDescent="0.2">
      <c r="A1041" s="55"/>
    </row>
    <row r="1042" spans="1:1" x14ac:dyDescent="0.2">
      <c r="A1042" s="55"/>
    </row>
    <row r="1043" spans="1:1" x14ac:dyDescent="0.2">
      <c r="A1043" s="55"/>
    </row>
    <row r="1044" spans="1:1" x14ac:dyDescent="0.2">
      <c r="A1044" s="55"/>
    </row>
    <row r="1045" spans="1:1" x14ac:dyDescent="0.2">
      <c r="A1045" s="55"/>
    </row>
    <row r="1046" spans="1:1" x14ac:dyDescent="0.2">
      <c r="A1046" s="55"/>
    </row>
    <row r="1047" spans="1:1" x14ac:dyDescent="0.2">
      <c r="A1047" s="55"/>
    </row>
    <row r="1048" spans="1:1" x14ac:dyDescent="0.2">
      <c r="A1048" s="55"/>
    </row>
    <row r="1049" spans="1:1" x14ac:dyDescent="0.2">
      <c r="A1049" s="55"/>
    </row>
    <row r="1050" spans="1:1" x14ac:dyDescent="0.2">
      <c r="A1050" s="55"/>
    </row>
    <row r="1051" spans="1:1" x14ac:dyDescent="0.2">
      <c r="A1051" s="55"/>
    </row>
    <row r="1052" spans="1:1" x14ac:dyDescent="0.2">
      <c r="A1052" s="55"/>
    </row>
    <row r="1053" spans="1:1" x14ac:dyDescent="0.2">
      <c r="A1053" s="55"/>
    </row>
    <row r="1054" spans="1:1" x14ac:dyDescent="0.2">
      <c r="A1054" s="55"/>
    </row>
    <row r="1055" spans="1:1" x14ac:dyDescent="0.2">
      <c r="A1055" s="55"/>
    </row>
    <row r="1056" spans="1:1" x14ac:dyDescent="0.2">
      <c r="A1056" s="55"/>
    </row>
    <row r="1057" spans="1:1" x14ac:dyDescent="0.2">
      <c r="A1057" s="55"/>
    </row>
    <row r="1058" spans="1:1" x14ac:dyDescent="0.2">
      <c r="A1058" s="55"/>
    </row>
    <row r="1059" spans="1:1" x14ac:dyDescent="0.2">
      <c r="A1059" s="55"/>
    </row>
    <row r="1060" spans="1:1" x14ac:dyDescent="0.2">
      <c r="A1060" s="55"/>
    </row>
    <row r="1061" spans="1:1" x14ac:dyDescent="0.2">
      <c r="A1061" s="55"/>
    </row>
    <row r="1062" spans="1:1" x14ac:dyDescent="0.2">
      <c r="A1062" s="55"/>
    </row>
    <row r="1063" spans="1:1" x14ac:dyDescent="0.2">
      <c r="A1063" s="55"/>
    </row>
    <row r="1064" spans="1:1" x14ac:dyDescent="0.2">
      <c r="A1064" s="55"/>
    </row>
    <row r="1065" spans="1:1" x14ac:dyDescent="0.2">
      <c r="A1065" s="55"/>
    </row>
    <row r="1066" spans="1:1" x14ac:dyDescent="0.2">
      <c r="A1066" s="55"/>
    </row>
    <row r="1067" spans="1:1" x14ac:dyDescent="0.2">
      <c r="A1067" s="55"/>
    </row>
    <row r="1068" spans="1:1" x14ac:dyDescent="0.2">
      <c r="A1068" s="55"/>
    </row>
    <row r="1069" spans="1:1" x14ac:dyDescent="0.2">
      <c r="A1069" s="55"/>
    </row>
    <row r="1070" spans="1:1" x14ac:dyDescent="0.2">
      <c r="A1070" s="55"/>
    </row>
    <row r="1071" spans="1:1" x14ac:dyDescent="0.2">
      <c r="A1071" s="55"/>
    </row>
    <row r="1072" spans="1:1" x14ac:dyDescent="0.2">
      <c r="A1072" s="55"/>
    </row>
    <row r="1073" spans="1:1" x14ac:dyDescent="0.2">
      <c r="A1073" s="55"/>
    </row>
    <row r="1074" spans="1:1" x14ac:dyDescent="0.2">
      <c r="A1074" s="55"/>
    </row>
    <row r="1075" spans="1:1" x14ac:dyDescent="0.2">
      <c r="A1075" s="55"/>
    </row>
    <row r="1076" spans="1:1" x14ac:dyDescent="0.2">
      <c r="A1076" s="55"/>
    </row>
    <row r="1077" spans="1:1" x14ac:dyDescent="0.2">
      <c r="A1077" s="55"/>
    </row>
    <row r="1078" spans="1:1" x14ac:dyDescent="0.2">
      <c r="A1078" s="55"/>
    </row>
    <row r="1079" spans="1:1" x14ac:dyDescent="0.2">
      <c r="A1079" s="55"/>
    </row>
    <row r="1080" spans="1:1" x14ac:dyDescent="0.2">
      <c r="A1080" s="55"/>
    </row>
    <row r="1081" spans="1:1" x14ac:dyDescent="0.2">
      <c r="A1081" s="55"/>
    </row>
    <row r="1082" spans="1:1" x14ac:dyDescent="0.2">
      <c r="A1082" s="55"/>
    </row>
    <row r="1083" spans="1:1" x14ac:dyDescent="0.2">
      <c r="A1083" s="55"/>
    </row>
    <row r="1084" spans="1:1" x14ac:dyDescent="0.2">
      <c r="A1084" s="55"/>
    </row>
    <row r="1085" spans="1:1" x14ac:dyDescent="0.2">
      <c r="A1085" s="55"/>
    </row>
    <row r="1086" spans="1:1" x14ac:dyDescent="0.2">
      <c r="A1086" s="55"/>
    </row>
    <row r="1087" spans="1:1" x14ac:dyDescent="0.2">
      <c r="A1087" s="55"/>
    </row>
    <row r="1088" spans="1:1" x14ac:dyDescent="0.2">
      <c r="A1088" s="55"/>
    </row>
    <row r="1089" spans="1:1" x14ac:dyDescent="0.2">
      <c r="A1089" s="55"/>
    </row>
    <row r="1090" spans="1:1" x14ac:dyDescent="0.2">
      <c r="A1090" s="55"/>
    </row>
    <row r="1091" spans="1:1" x14ac:dyDescent="0.2">
      <c r="A1091" s="55"/>
    </row>
    <row r="1092" spans="1:1" x14ac:dyDescent="0.2">
      <c r="A1092" s="55"/>
    </row>
    <row r="1093" spans="1:1" x14ac:dyDescent="0.2">
      <c r="A1093" s="55"/>
    </row>
    <row r="1094" spans="1:1" x14ac:dyDescent="0.2">
      <c r="A1094" s="55"/>
    </row>
    <row r="1095" spans="1:1" x14ac:dyDescent="0.2">
      <c r="A1095" s="55"/>
    </row>
    <row r="1096" spans="1:1" x14ac:dyDescent="0.2">
      <c r="A1096" s="55"/>
    </row>
    <row r="1097" spans="1:1" x14ac:dyDescent="0.2">
      <c r="A1097" s="55"/>
    </row>
    <row r="1098" spans="1:1" x14ac:dyDescent="0.2">
      <c r="A1098" s="55"/>
    </row>
    <row r="1099" spans="1:1" x14ac:dyDescent="0.2">
      <c r="A1099" s="55"/>
    </row>
    <row r="1100" spans="1:1" x14ac:dyDescent="0.2">
      <c r="A1100" s="55"/>
    </row>
    <row r="1101" spans="1:1" x14ac:dyDescent="0.2">
      <c r="A1101" s="55"/>
    </row>
    <row r="1102" spans="1:1" x14ac:dyDescent="0.2">
      <c r="A1102" s="55"/>
    </row>
    <row r="1103" spans="1:1" x14ac:dyDescent="0.2">
      <c r="A1103" s="55"/>
    </row>
    <row r="1104" spans="1:1" x14ac:dyDescent="0.2">
      <c r="A1104" s="55"/>
    </row>
    <row r="1105" spans="1:1" x14ac:dyDescent="0.2">
      <c r="A1105" s="55"/>
    </row>
    <row r="1106" spans="1:1" x14ac:dyDescent="0.2">
      <c r="A1106" s="55"/>
    </row>
    <row r="1107" spans="1:1" x14ac:dyDescent="0.2">
      <c r="A1107" s="55"/>
    </row>
    <row r="1108" spans="1:1" x14ac:dyDescent="0.2">
      <c r="A1108" s="55"/>
    </row>
    <row r="1109" spans="1:1" x14ac:dyDescent="0.2">
      <c r="A1109" s="55"/>
    </row>
    <row r="1110" spans="1:1" x14ac:dyDescent="0.2">
      <c r="A1110" s="55"/>
    </row>
    <row r="1111" spans="1:1" x14ac:dyDescent="0.2">
      <c r="A1111" s="55"/>
    </row>
    <row r="1112" spans="1:1" x14ac:dyDescent="0.2">
      <c r="A1112" s="55"/>
    </row>
    <row r="1113" spans="1:1" x14ac:dyDescent="0.2">
      <c r="A1113" s="55"/>
    </row>
    <row r="1114" spans="1:1" x14ac:dyDescent="0.2">
      <c r="A1114" s="55"/>
    </row>
    <row r="1115" spans="1:1" x14ac:dyDescent="0.2">
      <c r="A1115" s="55"/>
    </row>
    <row r="1116" spans="1:1" x14ac:dyDescent="0.2">
      <c r="A1116" s="55"/>
    </row>
    <row r="1117" spans="1:1" x14ac:dyDescent="0.2">
      <c r="A1117" s="55"/>
    </row>
    <row r="1118" spans="1:1" x14ac:dyDescent="0.2">
      <c r="A1118" s="55"/>
    </row>
    <row r="1119" spans="1:1" x14ac:dyDescent="0.2">
      <c r="A1119" s="55"/>
    </row>
    <row r="1120" spans="1:1" x14ac:dyDescent="0.2">
      <c r="A1120" s="55"/>
    </row>
    <row r="1121" spans="1:1" x14ac:dyDescent="0.2">
      <c r="A1121" s="55"/>
    </row>
    <row r="1122" spans="1:1" x14ac:dyDescent="0.2">
      <c r="A1122" s="55"/>
    </row>
    <row r="1123" spans="1:1" x14ac:dyDescent="0.2">
      <c r="A1123" s="55"/>
    </row>
    <row r="1124" spans="1:1" x14ac:dyDescent="0.2">
      <c r="A1124" s="55"/>
    </row>
    <row r="1125" spans="1:1" x14ac:dyDescent="0.2">
      <c r="A1125" s="55"/>
    </row>
    <row r="1126" spans="1:1" x14ac:dyDescent="0.2">
      <c r="A1126" s="55"/>
    </row>
    <row r="1127" spans="1:1" x14ac:dyDescent="0.2">
      <c r="A1127" s="55"/>
    </row>
    <row r="1128" spans="1:1" x14ac:dyDescent="0.2">
      <c r="A1128" s="55"/>
    </row>
    <row r="1129" spans="1:1" x14ac:dyDescent="0.2">
      <c r="A1129" s="55"/>
    </row>
    <row r="1130" spans="1:1" x14ac:dyDescent="0.2">
      <c r="A1130" s="55"/>
    </row>
    <row r="1131" spans="1:1" x14ac:dyDescent="0.2">
      <c r="A1131" s="55"/>
    </row>
    <row r="1132" spans="1:1" x14ac:dyDescent="0.2">
      <c r="A1132" s="55"/>
    </row>
    <row r="1133" spans="1:1" x14ac:dyDescent="0.2">
      <c r="A1133" s="55"/>
    </row>
    <row r="1134" spans="1:1" x14ac:dyDescent="0.2">
      <c r="A1134" s="55"/>
    </row>
    <row r="1135" spans="1:1" x14ac:dyDescent="0.2">
      <c r="A1135" s="55"/>
    </row>
    <row r="1136" spans="1:1" x14ac:dyDescent="0.2">
      <c r="A1136" s="55"/>
    </row>
    <row r="1137" spans="1:1" x14ac:dyDescent="0.2">
      <c r="A1137" s="55"/>
    </row>
    <row r="1138" spans="1:1" x14ac:dyDescent="0.2">
      <c r="A1138" s="55"/>
    </row>
    <row r="1139" spans="1:1" x14ac:dyDescent="0.2">
      <c r="A1139" s="55"/>
    </row>
    <row r="1140" spans="1:1" x14ac:dyDescent="0.2">
      <c r="A1140" s="55"/>
    </row>
    <row r="1141" spans="1:1" x14ac:dyDescent="0.2">
      <c r="A1141" s="55"/>
    </row>
    <row r="1142" spans="1:1" x14ac:dyDescent="0.2">
      <c r="A1142" s="55"/>
    </row>
    <row r="1143" spans="1:1" x14ac:dyDescent="0.2">
      <c r="A1143" s="55"/>
    </row>
    <row r="1144" spans="1:1" x14ac:dyDescent="0.2">
      <c r="A1144" s="55"/>
    </row>
    <row r="1145" spans="1:1" x14ac:dyDescent="0.2">
      <c r="A1145" s="55"/>
    </row>
    <row r="1146" spans="1:1" x14ac:dyDescent="0.2">
      <c r="A1146" s="55"/>
    </row>
    <row r="1147" spans="1:1" x14ac:dyDescent="0.2">
      <c r="A1147" s="55"/>
    </row>
    <row r="1148" spans="1:1" x14ac:dyDescent="0.2">
      <c r="A1148" s="55"/>
    </row>
    <row r="1149" spans="1:1" x14ac:dyDescent="0.2">
      <c r="A1149" s="55"/>
    </row>
    <row r="1150" spans="1:1" x14ac:dyDescent="0.2">
      <c r="A1150" s="55"/>
    </row>
    <row r="1151" spans="1:1" x14ac:dyDescent="0.2">
      <c r="A1151" s="55"/>
    </row>
    <row r="1152" spans="1:1" x14ac:dyDescent="0.2">
      <c r="A1152" s="55"/>
    </row>
    <row r="1153" spans="1:1" x14ac:dyDescent="0.2">
      <c r="A1153" s="55"/>
    </row>
    <row r="1154" spans="1:1" x14ac:dyDescent="0.2">
      <c r="A1154" s="55"/>
    </row>
    <row r="1155" spans="1:1" x14ac:dyDescent="0.2">
      <c r="A1155" s="55"/>
    </row>
    <row r="1156" spans="1:1" x14ac:dyDescent="0.2">
      <c r="A1156" s="55"/>
    </row>
    <row r="1157" spans="1:1" x14ac:dyDescent="0.2">
      <c r="A1157" s="55"/>
    </row>
    <row r="1158" spans="1:1" x14ac:dyDescent="0.2">
      <c r="A1158" s="55"/>
    </row>
    <row r="1159" spans="1:1" x14ac:dyDescent="0.2">
      <c r="A1159" s="55"/>
    </row>
    <row r="1160" spans="1:1" x14ac:dyDescent="0.2">
      <c r="A1160" s="55"/>
    </row>
    <row r="1161" spans="1:1" x14ac:dyDescent="0.2">
      <c r="A1161" s="55"/>
    </row>
    <row r="1162" spans="1:1" x14ac:dyDescent="0.2">
      <c r="A1162" s="55"/>
    </row>
    <row r="1163" spans="1:1" x14ac:dyDescent="0.2">
      <c r="A1163" s="55"/>
    </row>
    <row r="1164" spans="1:1" x14ac:dyDescent="0.2">
      <c r="A1164" s="55"/>
    </row>
    <row r="1165" spans="1:1" x14ac:dyDescent="0.2">
      <c r="A1165" s="55"/>
    </row>
    <row r="1166" spans="1:1" x14ac:dyDescent="0.2">
      <c r="A1166" s="55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A66" sqref="A66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64" ht="15.75" x14ac:dyDescent="0.25">
      <c r="A1" s="22" t="s">
        <v>99</v>
      </c>
      <c r="BL1" t="s">
        <v>208</v>
      </c>
    </row>
    <row r="2" spans="1:64" x14ac:dyDescent="0.2">
      <c r="A2" t="s">
        <v>81</v>
      </c>
    </row>
    <row r="3" spans="1:64" x14ac:dyDescent="0.2">
      <c r="A3" t="s">
        <v>70</v>
      </c>
    </row>
    <row r="4" spans="1:64" x14ac:dyDescent="0.2">
      <c r="A4" t="s">
        <v>71</v>
      </c>
    </row>
    <row r="5" spans="1:64" x14ac:dyDescent="0.2">
      <c r="A5" s="6" t="s">
        <v>80</v>
      </c>
      <c r="B5" s="6"/>
    </row>
    <row r="6" spans="1:64" x14ac:dyDescent="0.2">
      <c r="A6" t="s">
        <v>82</v>
      </c>
    </row>
    <row r="7" spans="1:64" x14ac:dyDescent="0.2">
      <c r="A7" t="s">
        <v>83</v>
      </c>
    </row>
    <row r="8" spans="1:64" x14ac:dyDescent="0.2">
      <c r="A8" t="s">
        <v>84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85</v>
      </c>
    </row>
    <row r="26" spans="1:1" x14ac:dyDescent="0.2">
      <c r="A26" s="6" t="s">
        <v>86</v>
      </c>
    </row>
    <row r="27" spans="1:1" x14ac:dyDescent="0.2">
      <c r="A27" s="6" t="s">
        <v>87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1" hidden="1" x14ac:dyDescent="0.2"/>
    <row r="34" spans="1:1" hidden="1" x14ac:dyDescent="0.2"/>
    <row r="35" spans="1:1" hidden="1" x14ac:dyDescent="0.2"/>
    <row r="36" spans="1:1" hidden="1" x14ac:dyDescent="0.2"/>
    <row r="37" spans="1:1" hidden="1" x14ac:dyDescent="0.2"/>
    <row r="38" spans="1:1" hidden="1" x14ac:dyDescent="0.2"/>
    <row r="39" spans="1:1" hidden="1" x14ac:dyDescent="0.2"/>
    <row r="40" spans="1:1" hidden="1" x14ac:dyDescent="0.2"/>
    <row r="41" spans="1:1" hidden="1" x14ac:dyDescent="0.2"/>
    <row r="42" spans="1:1" hidden="1" x14ac:dyDescent="0.2"/>
    <row r="43" spans="1:1" hidden="1" x14ac:dyDescent="0.2"/>
    <row r="44" spans="1:1" hidden="1" x14ac:dyDescent="0.2"/>
    <row r="45" spans="1:1" hidden="1" x14ac:dyDescent="0.2"/>
    <row r="46" spans="1:1" ht="15.75" x14ac:dyDescent="0.25">
      <c r="A46" s="22" t="s">
        <v>98</v>
      </c>
    </row>
    <row r="47" spans="1:1" x14ac:dyDescent="0.2">
      <c r="A47" s="6" t="s">
        <v>88</v>
      </c>
    </row>
    <row r="48" spans="1:1" x14ac:dyDescent="0.2">
      <c r="A48" s="6" t="s">
        <v>89</v>
      </c>
    </row>
    <row r="49" spans="1:5" x14ac:dyDescent="0.2">
      <c r="A49" s="6" t="s">
        <v>90</v>
      </c>
    </row>
    <row r="50" spans="1:5" x14ac:dyDescent="0.2">
      <c r="A50" s="6" t="s">
        <v>91</v>
      </c>
    </row>
    <row r="51" spans="1:5" x14ac:dyDescent="0.2">
      <c r="A51" s="6" t="s">
        <v>92</v>
      </c>
    </row>
    <row r="52" spans="1:5" x14ac:dyDescent="0.2">
      <c r="A52" s="6" t="s">
        <v>100</v>
      </c>
    </row>
    <row r="53" spans="1:5" x14ac:dyDescent="0.2">
      <c r="A53" s="6" t="s">
        <v>94</v>
      </c>
    </row>
    <row r="54" spans="1:5" x14ac:dyDescent="0.2">
      <c r="A54" s="6" t="s">
        <v>156</v>
      </c>
    </row>
    <row r="55" spans="1:5" x14ac:dyDescent="0.2">
      <c r="A55" s="6" t="s">
        <v>95</v>
      </c>
      <c r="C55" s="56" t="s">
        <v>97</v>
      </c>
      <c r="D55" s="56"/>
      <c r="E55" s="56"/>
    </row>
    <row r="56" spans="1:5" x14ac:dyDescent="0.2">
      <c r="A56" s="6" t="s">
        <v>96</v>
      </c>
      <c r="C56" s="56" t="s">
        <v>97</v>
      </c>
      <c r="D56" s="56"/>
      <c r="E56" s="56"/>
    </row>
    <row r="57" spans="1:5" x14ac:dyDescent="0.2">
      <c r="A57" s="6" t="s">
        <v>93</v>
      </c>
      <c r="C57" s="41" t="s">
        <v>159</v>
      </c>
      <c r="D57" s="42"/>
      <c r="E57" s="42"/>
    </row>
    <row r="58" spans="1:5" hidden="1" x14ac:dyDescent="0.2">
      <c r="A58" s="6"/>
      <c r="C58" s="42"/>
      <c r="D58" s="42"/>
      <c r="E58" s="42"/>
    </row>
    <row r="59" spans="1:5" x14ac:dyDescent="0.2">
      <c r="A59" s="6" t="s">
        <v>157</v>
      </c>
      <c r="C59" s="56" t="s">
        <v>97</v>
      </c>
      <c r="D59" s="56"/>
      <c r="E59" s="56"/>
    </row>
    <row r="60" spans="1:5" x14ac:dyDescent="0.2">
      <c r="A60" s="6" t="s">
        <v>160</v>
      </c>
      <c r="C60" s="56" t="s">
        <v>97</v>
      </c>
      <c r="D60" s="56"/>
      <c r="E60" s="56"/>
    </row>
    <row r="61" spans="1:5" x14ac:dyDescent="0.2">
      <c r="A61" s="6" t="s">
        <v>161</v>
      </c>
      <c r="C61" s="56" t="s">
        <v>162</v>
      </c>
      <c r="D61" s="56"/>
      <c r="E61" s="56"/>
    </row>
    <row r="62" spans="1:5" x14ac:dyDescent="0.2">
      <c r="A62" s="6" t="s">
        <v>192</v>
      </c>
      <c r="C62" s="56" t="s">
        <v>193</v>
      </c>
      <c r="D62" s="56"/>
      <c r="E62" s="56"/>
    </row>
    <row r="63" spans="1:5" x14ac:dyDescent="0.2">
      <c r="A63" s="6" t="s">
        <v>199</v>
      </c>
      <c r="B63" s="6"/>
      <c r="C63" s="6" t="s">
        <v>200</v>
      </c>
    </row>
    <row r="64" spans="1:5" x14ac:dyDescent="0.2">
      <c r="A64" s="6" t="s">
        <v>205</v>
      </c>
      <c r="C64" s="56" t="s">
        <v>97</v>
      </c>
      <c r="D64" s="56"/>
      <c r="E64" s="56"/>
    </row>
    <row r="65" spans="1:2" x14ac:dyDescent="0.2">
      <c r="A65" s="6" t="s">
        <v>206</v>
      </c>
      <c r="B65" s="6" t="s">
        <v>207</v>
      </c>
    </row>
    <row r="66" spans="1:2" x14ac:dyDescent="0.2">
      <c r="A66" s="6" t="s">
        <v>209</v>
      </c>
    </row>
    <row r="70" spans="1:2" x14ac:dyDescent="0.2">
      <c r="A70" s="6"/>
    </row>
    <row r="226" spans="38:38" x14ac:dyDescent="0.2">
      <c r="AL226" s="35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H5" sqref="H5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195</v>
      </c>
    </row>
    <row r="2" spans="1:8" x14ac:dyDescent="0.2">
      <c r="A2" s="6" t="s">
        <v>158</v>
      </c>
      <c r="B2" s="6" t="s">
        <v>163</v>
      </c>
      <c r="C2" s="6"/>
      <c r="D2" s="6"/>
      <c r="E2" s="6"/>
      <c r="F2" s="6" t="s">
        <v>158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A4" sqref="A4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6" ht="16.5" thickBot="1" x14ac:dyDescent="0.3">
      <c r="A1" s="10" t="s">
        <v>74</v>
      </c>
      <c r="B1" s="11" t="s">
        <v>75</v>
      </c>
      <c r="C1" s="12" t="s">
        <v>76</v>
      </c>
      <c r="D1" s="12"/>
      <c r="E1" s="12"/>
      <c r="F1" s="12"/>
    </row>
    <row r="2" spans="1:6" x14ac:dyDescent="0.2">
      <c r="A2" s="13" t="s">
        <v>39</v>
      </c>
      <c r="B2" s="13" t="s">
        <v>47</v>
      </c>
      <c r="C2" s="13" t="s">
        <v>37</v>
      </c>
      <c r="D2" s="13"/>
      <c r="E2" s="13"/>
      <c r="F2" s="13"/>
    </row>
    <row r="3" spans="1:6" x14ac:dyDescent="0.2">
      <c r="A3" s="14" t="s">
        <v>43</v>
      </c>
      <c r="B3" s="14" t="s">
        <v>46</v>
      </c>
      <c r="C3" s="14" t="s">
        <v>56</v>
      </c>
      <c r="D3" s="14"/>
      <c r="E3" s="14"/>
      <c r="F3" s="14"/>
    </row>
    <row r="4" spans="1:6" x14ac:dyDescent="0.2">
      <c r="A4" s="14" t="s">
        <v>49</v>
      </c>
      <c r="B4" s="14" t="s">
        <v>42</v>
      </c>
      <c r="C4" s="14" t="s">
        <v>58</v>
      </c>
      <c r="D4" s="14"/>
      <c r="E4" s="14"/>
      <c r="F4" s="14"/>
    </row>
    <row r="5" spans="1:6" x14ac:dyDescent="0.2">
      <c r="A5" s="14" t="s">
        <v>61</v>
      </c>
      <c r="B5" s="14" t="s">
        <v>50</v>
      </c>
      <c r="C5" s="14" t="s">
        <v>44</v>
      </c>
      <c r="D5" s="14"/>
      <c r="E5" s="14"/>
      <c r="F5" s="14"/>
    </row>
    <row r="6" spans="1:6" x14ac:dyDescent="0.2">
      <c r="A6" s="15"/>
      <c r="B6" s="14" t="s">
        <v>77</v>
      </c>
      <c r="C6" s="14" t="s">
        <v>62</v>
      </c>
      <c r="D6" s="14"/>
      <c r="E6" s="14"/>
      <c r="F6" s="14"/>
    </row>
    <row r="7" spans="1:6" x14ac:dyDescent="0.2">
      <c r="A7" s="15"/>
      <c r="B7" s="14" t="s">
        <v>45</v>
      </c>
      <c r="C7" s="14" t="s">
        <v>59</v>
      </c>
      <c r="D7" s="14"/>
      <c r="E7" s="14"/>
      <c r="F7" s="14"/>
    </row>
    <row r="8" spans="1:6" x14ac:dyDescent="0.2">
      <c r="A8" s="15"/>
      <c r="B8" s="14" t="s">
        <v>38</v>
      </c>
      <c r="C8" s="14" t="s">
        <v>54</v>
      </c>
      <c r="D8" s="14"/>
      <c r="E8" s="14"/>
      <c r="F8" s="14"/>
    </row>
    <row r="9" spans="1:6" x14ac:dyDescent="0.2">
      <c r="A9" s="15"/>
      <c r="B9" s="14" t="s">
        <v>55</v>
      </c>
      <c r="C9" s="14" t="s">
        <v>60</v>
      </c>
      <c r="D9" s="14"/>
      <c r="E9" s="14"/>
      <c r="F9" s="14"/>
    </row>
    <row r="10" spans="1:6" x14ac:dyDescent="0.2">
      <c r="A10" s="15"/>
      <c r="B10" s="14" t="s">
        <v>48</v>
      </c>
      <c r="C10" s="14" t="s">
        <v>41</v>
      </c>
      <c r="D10" s="14"/>
      <c r="E10" s="14"/>
      <c r="F10" s="14"/>
    </row>
    <row r="11" spans="1:6" x14ac:dyDescent="0.2">
      <c r="A11" s="15"/>
      <c r="B11" s="15" t="s">
        <v>52</v>
      </c>
      <c r="C11" s="14" t="s">
        <v>66</v>
      </c>
      <c r="D11" s="14"/>
      <c r="E11" s="14"/>
      <c r="F11" s="14"/>
    </row>
    <row r="12" spans="1:6" x14ac:dyDescent="0.2">
      <c r="A12" s="15"/>
      <c r="B12" s="15"/>
      <c r="C12" s="14" t="s">
        <v>57</v>
      </c>
      <c r="D12" s="14"/>
      <c r="E12" s="14"/>
      <c r="F12" s="14"/>
    </row>
    <row r="13" spans="1:6" x14ac:dyDescent="0.2">
      <c r="A13" s="15"/>
      <c r="B13" s="15"/>
      <c r="C13" s="14" t="s">
        <v>51</v>
      </c>
      <c r="D13" s="14"/>
      <c r="E13" s="14"/>
      <c r="F13" s="14"/>
    </row>
    <row r="14" spans="1:6" x14ac:dyDescent="0.2">
      <c r="A14" s="15"/>
      <c r="B14" s="15"/>
      <c r="C14" s="14" t="s">
        <v>63</v>
      </c>
      <c r="D14" s="14"/>
      <c r="E14" s="14"/>
      <c r="F14" s="14"/>
    </row>
    <row r="15" spans="1:6" x14ac:dyDescent="0.2">
      <c r="A15" s="15"/>
      <c r="B15" s="15"/>
      <c r="C15" s="14" t="s">
        <v>53</v>
      </c>
      <c r="D15" s="14"/>
      <c r="E15" s="14"/>
      <c r="F15" s="14"/>
    </row>
    <row r="16" spans="1:6" x14ac:dyDescent="0.2">
      <c r="A16" s="15"/>
      <c r="B16" s="15"/>
      <c r="C16" s="14" t="s">
        <v>64</v>
      </c>
      <c r="D16" s="14"/>
      <c r="E16" s="14"/>
      <c r="F16" s="14"/>
    </row>
    <row r="17" spans="1:6" x14ac:dyDescent="0.2">
      <c r="A17" s="15"/>
      <c r="B17" s="15"/>
      <c r="C17" s="14" t="s">
        <v>65</v>
      </c>
      <c r="D17" s="15"/>
      <c r="E17" s="15"/>
      <c r="F17" s="15"/>
    </row>
    <row r="18" spans="1:6" x14ac:dyDescent="0.2">
      <c r="A18" s="15"/>
      <c r="B18" s="15"/>
      <c r="C18" s="14" t="s">
        <v>78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69</v>
      </c>
      <c r="B1" s="20" t="s">
        <v>71</v>
      </c>
      <c r="C1" s="20" t="s">
        <v>79</v>
      </c>
      <c r="D1" s="21" t="s">
        <v>80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E34" sqref="E34"/>
    </sheetView>
  </sheetViews>
  <sheetFormatPr defaultRowHeight="12.75" x14ac:dyDescent="0.2"/>
  <cols>
    <col min="1" max="1" width="9.140625" style="44"/>
    <col min="2" max="2" width="16.140625" style="44" customWidth="1"/>
    <col min="3" max="10" width="9.140625" style="44"/>
    <col min="11" max="11" width="16.140625" style="44" bestFit="1" customWidth="1"/>
    <col min="12" max="12" width="14.5703125" style="44" bestFit="1" customWidth="1"/>
    <col min="13" max="16384" width="9.140625" style="44"/>
  </cols>
  <sheetData>
    <row r="1" spans="1:51" x14ac:dyDescent="0.2">
      <c r="A1" s="57" t="s">
        <v>164</v>
      </c>
      <c r="B1" s="57" t="s">
        <v>165</v>
      </c>
      <c r="C1" s="57" t="s">
        <v>166</v>
      </c>
      <c r="D1" s="57"/>
      <c r="E1" s="57"/>
      <c r="F1" s="57" t="s">
        <v>167</v>
      </c>
      <c r="G1" s="57" t="s">
        <v>168</v>
      </c>
      <c r="K1" s="60" t="s">
        <v>171</v>
      </c>
      <c r="L1" s="60" t="s">
        <v>173</v>
      </c>
    </row>
    <row r="2" spans="1:51" x14ac:dyDescent="0.2">
      <c r="A2" s="57"/>
      <c r="B2" s="57"/>
      <c r="C2" s="43">
        <v>1</v>
      </c>
      <c r="D2" s="43">
        <v>2</v>
      </c>
      <c r="E2" s="43">
        <v>3</v>
      </c>
      <c r="F2" s="57"/>
      <c r="G2" s="57"/>
      <c r="I2" s="44" t="s">
        <v>167</v>
      </c>
      <c r="J2" s="44" t="s">
        <v>168</v>
      </c>
      <c r="K2" s="60"/>
      <c r="L2" s="60"/>
    </row>
    <row r="3" spans="1:51" x14ac:dyDescent="0.2">
      <c r="A3" s="57">
        <v>1</v>
      </c>
      <c r="B3" s="43">
        <v>1</v>
      </c>
      <c r="C3" s="45" t="s">
        <v>40</v>
      </c>
      <c r="D3" s="45" t="s">
        <v>40</v>
      </c>
      <c r="E3" s="45" t="s">
        <v>40</v>
      </c>
      <c r="F3" s="46">
        <f>MAX(C3:E3)-MIN(C3:E3)</f>
        <v>0</v>
      </c>
      <c r="G3" s="43" t="e">
        <f>(C3+D3+E3)/3</f>
        <v>#VALUE!</v>
      </c>
      <c r="H3" s="58" t="s">
        <v>196</v>
      </c>
      <c r="I3" s="57">
        <f>(F3+F4+F5+F6+F7)/5</f>
        <v>0</v>
      </c>
      <c r="J3" s="57" t="e">
        <f>(G3+G4+G5+G6+G7)/5</f>
        <v>#VALUE!</v>
      </c>
      <c r="K3" s="43">
        <f>(I3+I8+I13)/3</f>
        <v>0</v>
      </c>
      <c r="L3" s="43" t="e">
        <f>MAX(J3:J17)-MIN(J3:J17)</f>
        <v>#VALUE!</v>
      </c>
      <c r="AQ3" s="44" t="s">
        <v>155</v>
      </c>
      <c r="AR3" s="44" t="s">
        <v>155</v>
      </c>
      <c r="AS3" s="44" t="s">
        <v>155</v>
      </c>
      <c r="AT3" s="44" t="s">
        <v>155</v>
      </c>
      <c r="AV3" s="44" t="s">
        <v>155</v>
      </c>
      <c r="AW3" s="44" t="s">
        <v>155</v>
      </c>
      <c r="AX3" s="44" t="s">
        <v>155</v>
      </c>
      <c r="AY3" s="44" t="s">
        <v>155</v>
      </c>
    </row>
    <row r="4" spans="1:51" x14ac:dyDescent="0.2">
      <c r="A4" s="57"/>
      <c r="B4" s="43">
        <v>2</v>
      </c>
      <c r="C4" s="45" t="s">
        <v>40</v>
      </c>
      <c r="D4" s="45" t="s">
        <v>40</v>
      </c>
      <c r="E4" s="45" t="s">
        <v>40</v>
      </c>
      <c r="F4" s="46">
        <f t="shared" ref="F4:F17" si="0">MAX(C4:E4)-MIN(C4:E4)</f>
        <v>0</v>
      </c>
      <c r="G4" s="43" t="e">
        <f t="shared" ref="G4:G17" si="1">(C4+D4+E4)/3</f>
        <v>#VALUE!</v>
      </c>
      <c r="H4" s="58"/>
      <c r="I4" s="57"/>
      <c r="J4" s="57"/>
      <c r="K4" s="43"/>
      <c r="L4" s="43"/>
    </row>
    <row r="5" spans="1:51" x14ac:dyDescent="0.2">
      <c r="A5" s="57"/>
      <c r="B5" s="43">
        <v>3</v>
      </c>
      <c r="C5" s="45" t="s">
        <v>40</v>
      </c>
      <c r="D5" s="45" t="s">
        <v>40</v>
      </c>
      <c r="E5" s="45" t="s">
        <v>40</v>
      </c>
      <c r="F5" s="46">
        <f t="shared" si="0"/>
        <v>0</v>
      </c>
      <c r="G5" s="43" t="e">
        <f t="shared" si="1"/>
        <v>#VALUE!</v>
      </c>
      <c r="H5" s="58"/>
      <c r="I5" s="57"/>
      <c r="J5" s="57"/>
      <c r="K5" s="43"/>
      <c r="L5" s="43"/>
    </row>
    <row r="6" spans="1:51" x14ac:dyDescent="0.2">
      <c r="A6" s="57"/>
      <c r="B6" s="43">
        <v>4</v>
      </c>
      <c r="C6" s="45" t="s">
        <v>40</v>
      </c>
      <c r="D6" s="45" t="s">
        <v>40</v>
      </c>
      <c r="E6" s="45" t="s">
        <v>40</v>
      </c>
      <c r="F6" s="46">
        <f t="shared" si="0"/>
        <v>0</v>
      </c>
      <c r="G6" s="43" t="e">
        <f t="shared" si="1"/>
        <v>#VALUE!</v>
      </c>
      <c r="H6" s="58"/>
      <c r="I6" s="57"/>
      <c r="J6" s="57"/>
      <c r="K6" s="43"/>
      <c r="L6" s="43"/>
    </row>
    <row r="7" spans="1:51" x14ac:dyDescent="0.2">
      <c r="A7" s="57"/>
      <c r="B7" s="43">
        <v>5</v>
      </c>
      <c r="C7" s="45" t="s">
        <v>40</v>
      </c>
      <c r="D7" s="45" t="s">
        <v>40</v>
      </c>
      <c r="E7" s="45" t="s">
        <v>40</v>
      </c>
      <c r="F7" s="46">
        <f t="shared" si="0"/>
        <v>0</v>
      </c>
      <c r="G7" s="43" t="e">
        <f t="shared" si="1"/>
        <v>#VALUE!</v>
      </c>
      <c r="H7" s="58"/>
      <c r="I7" s="57"/>
      <c r="J7" s="57"/>
      <c r="K7" s="43"/>
      <c r="L7" s="43"/>
    </row>
    <row r="8" spans="1:51" x14ac:dyDescent="0.2">
      <c r="A8" s="57">
        <v>2</v>
      </c>
      <c r="B8" s="43">
        <v>1</v>
      </c>
      <c r="C8" s="45" t="s">
        <v>40</v>
      </c>
      <c r="D8" s="45" t="s">
        <v>40</v>
      </c>
      <c r="E8" s="45" t="s">
        <v>40</v>
      </c>
      <c r="F8" s="46">
        <f t="shared" si="0"/>
        <v>0</v>
      </c>
      <c r="G8" s="43" t="e">
        <f t="shared" si="1"/>
        <v>#VALUE!</v>
      </c>
      <c r="H8" s="58" t="s">
        <v>169</v>
      </c>
      <c r="I8" s="57">
        <f>(F8+F9+F10+F11+F12)/5</f>
        <v>0</v>
      </c>
      <c r="J8" s="57" t="e">
        <f>(G8+G9+G10+G11+G12)/5</f>
        <v>#VALUE!</v>
      </c>
      <c r="K8" s="43"/>
      <c r="L8" s="43"/>
    </row>
    <row r="9" spans="1:51" x14ac:dyDescent="0.2">
      <c r="A9" s="57"/>
      <c r="B9" s="43">
        <v>2</v>
      </c>
      <c r="C9" s="45" t="s">
        <v>40</v>
      </c>
      <c r="D9" s="45" t="s">
        <v>40</v>
      </c>
      <c r="E9" s="45" t="s">
        <v>40</v>
      </c>
      <c r="F9" s="46">
        <f t="shared" si="0"/>
        <v>0</v>
      </c>
      <c r="G9" s="43" t="e">
        <f t="shared" si="1"/>
        <v>#VALUE!</v>
      </c>
      <c r="H9" s="58"/>
      <c r="I9" s="57"/>
      <c r="J9" s="57"/>
      <c r="K9" s="43"/>
      <c r="L9" s="43"/>
    </row>
    <row r="10" spans="1:51" x14ac:dyDescent="0.2">
      <c r="A10" s="57"/>
      <c r="B10" s="43">
        <v>3</v>
      </c>
      <c r="C10" s="45" t="s">
        <v>40</v>
      </c>
      <c r="D10" s="45" t="s">
        <v>40</v>
      </c>
      <c r="E10" s="45" t="s">
        <v>40</v>
      </c>
      <c r="F10" s="46">
        <f t="shared" si="0"/>
        <v>0</v>
      </c>
      <c r="G10" s="43" t="e">
        <f t="shared" si="1"/>
        <v>#VALUE!</v>
      </c>
      <c r="H10" s="58"/>
      <c r="I10" s="57"/>
      <c r="J10" s="57"/>
      <c r="K10" s="43"/>
      <c r="L10" s="43"/>
    </row>
    <row r="11" spans="1:51" x14ac:dyDescent="0.2">
      <c r="A11" s="57"/>
      <c r="B11" s="43">
        <v>4</v>
      </c>
      <c r="C11" s="45" t="s">
        <v>40</v>
      </c>
      <c r="D11" s="45" t="s">
        <v>40</v>
      </c>
      <c r="E11" s="45" t="s">
        <v>40</v>
      </c>
      <c r="F11" s="46">
        <f t="shared" si="0"/>
        <v>0</v>
      </c>
      <c r="G11" s="43" t="e">
        <f t="shared" si="1"/>
        <v>#VALUE!</v>
      </c>
      <c r="H11" s="58"/>
      <c r="I11" s="57"/>
      <c r="J11" s="57"/>
      <c r="K11" s="43"/>
      <c r="L11" s="43"/>
    </row>
    <row r="12" spans="1:51" x14ac:dyDescent="0.2">
      <c r="A12" s="57"/>
      <c r="B12" s="43">
        <v>5</v>
      </c>
      <c r="C12" s="45" t="s">
        <v>40</v>
      </c>
      <c r="D12" s="45" t="s">
        <v>40</v>
      </c>
      <c r="E12" s="45" t="s">
        <v>40</v>
      </c>
      <c r="F12" s="46">
        <f t="shared" si="0"/>
        <v>0</v>
      </c>
      <c r="G12" s="43" t="e">
        <f t="shared" si="1"/>
        <v>#VALUE!</v>
      </c>
      <c r="H12" s="58"/>
      <c r="I12" s="57"/>
      <c r="J12" s="57"/>
      <c r="K12" s="43"/>
      <c r="L12" s="43"/>
    </row>
    <row r="13" spans="1:51" x14ac:dyDescent="0.2">
      <c r="A13" s="57">
        <v>3</v>
      </c>
      <c r="B13" s="43">
        <v>1</v>
      </c>
      <c r="C13" s="45" t="s">
        <v>40</v>
      </c>
      <c r="D13" s="45" t="s">
        <v>40</v>
      </c>
      <c r="E13" s="45" t="s">
        <v>40</v>
      </c>
      <c r="F13" s="46">
        <f t="shared" si="0"/>
        <v>0</v>
      </c>
      <c r="G13" s="43" t="e">
        <f t="shared" si="1"/>
        <v>#VALUE!</v>
      </c>
      <c r="H13" s="58" t="s">
        <v>170</v>
      </c>
      <c r="I13" s="57">
        <f>(F13+F14+F15+F16+F17)/5</f>
        <v>0</v>
      </c>
      <c r="J13" s="57" t="e">
        <f>(G13+G14+G15+G16+G17)/5</f>
        <v>#VALUE!</v>
      </c>
      <c r="K13" s="43"/>
      <c r="L13" s="43"/>
    </row>
    <row r="14" spans="1:51" x14ac:dyDescent="0.2">
      <c r="A14" s="57"/>
      <c r="B14" s="43">
        <v>2</v>
      </c>
      <c r="C14" s="45" t="s">
        <v>40</v>
      </c>
      <c r="D14" s="45" t="s">
        <v>40</v>
      </c>
      <c r="E14" s="45" t="s">
        <v>40</v>
      </c>
      <c r="F14" s="46">
        <f t="shared" si="0"/>
        <v>0</v>
      </c>
      <c r="G14" s="43" t="e">
        <f t="shared" si="1"/>
        <v>#VALUE!</v>
      </c>
      <c r="H14" s="58"/>
      <c r="I14" s="57"/>
      <c r="J14" s="57"/>
      <c r="K14" s="43"/>
      <c r="L14" s="43"/>
    </row>
    <row r="15" spans="1:51" x14ac:dyDescent="0.2">
      <c r="A15" s="57"/>
      <c r="B15" s="43">
        <v>3</v>
      </c>
      <c r="C15" s="45" t="s">
        <v>40</v>
      </c>
      <c r="D15" s="45" t="s">
        <v>40</v>
      </c>
      <c r="E15" s="45" t="s">
        <v>40</v>
      </c>
      <c r="F15" s="46">
        <f t="shared" si="0"/>
        <v>0</v>
      </c>
      <c r="G15" s="43" t="e">
        <f t="shared" si="1"/>
        <v>#VALUE!</v>
      </c>
      <c r="H15" s="58"/>
      <c r="I15" s="57"/>
      <c r="J15" s="57"/>
      <c r="K15" s="43"/>
      <c r="L15" s="43"/>
    </row>
    <row r="16" spans="1:51" x14ac:dyDescent="0.2">
      <c r="A16" s="57"/>
      <c r="B16" s="43">
        <v>4</v>
      </c>
      <c r="C16" s="45" t="s">
        <v>40</v>
      </c>
      <c r="D16" s="45" t="s">
        <v>40</v>
      </c>
      <c r="E16" s="45" t="s">
        <v>40</v>
      </c>
      <c r="F16" s="46">
        <f t="shared" si="0"/>
        <v>0</v>
      </c>
      <c r="G16" s="43" t="e">
        <f t="shared" si="1"/>
        <v>#VALUE!</v>
      </c>
      <c r="H16" s="58"/>
      <c r="I16" s="57"/>
      <c r="J16" s="57"/>
      <c r="K16" s="43"/>
      <c r="L16" s="43"/>
    </row>
    <row r="17" spans="1:12" x14ac:dyDescent="0.2">
      <c r="A17" s="57"/>
      <c r="B17" s="43">
        <v>5</v>
      </c>
      <c r="C17" s="45" t="s">
        <v>40</v>
      </c>
      <c r="D17" s="45" t="s">
        <v>40</v>
      </c>
      <c r="E17" s="45" t="s">
        <v>40</v>
      </c>
      <c r="F17" s="46">
        <f t="shared" si="0"/>
        <v>0</v>
      </c>
      <c r="G17" s="43" t="e">
        <f t="shared" si="1"/>
        <v>#VALUE!</v>
      </c>
      <c r="H17" s="58"/>
      <c r="I17" s="57"/>
      <c r="J17" s="57"/>
      <c r="K17" s="43"/>
      <c r="L17" s="43"/>
    </row>
    <row r="25" spans="1:12" x14ac:dyDescent="0.2">
      <c r="A25" s="47" t="s">
        <v>172</v>
      </c>
      <c r="B25" s="43">
        <f>K3</f>
        <v>0</v>
      </c>
    </row>
    <row r="26" spans="1:12" x14ac:dyDescent="0.2">
      <c r="A26" s="47" t="s">
        <v>174</v>
      </c>
      <c r="B26" s="43">
        <v>1.708</v>
      </c>
    </row>
    <row r="27" spans="1:12" x14ac:dyDescent="0.2">
      <c r="A27" s="47" t="s">
        <v>180</v>
      </c>
      <c r="B27" s="44">
        <f>1/B26</f>
        <v>0.58548009367681497</v>
      </c>
    </row>
    <row r="28" spans="1:12" x14ac:dyDescent="0.2">
      <c r="A28" s="47" t="s">
        <v>175</v>
      </c>
      <c r="B28" s="43">
        <f>B25*B27</f>
        <v>0</v>
      </c>
    </row>
    <row r="29" spans="1:12" x14ac:dyDescent="0.2">
      <c r="A29" s="43"/>
      <c r="B29" s="43"/>
    </row>
    <row r="30" spans="1:12" x14ac:dyDescent="0.2">
      <c r="A30" s="47" t="s">
        <v>176</v>
      </c>
      <c r="B30" s="43" t="e">
        <f>L3</f>
        <v>#VALUE!</v>
      </c>
    </row>
    <row r="31" spans="1:12" x14ac:dyDescent="0.2">
      <c r="A31" s="47" t="s">
        <v>177</v>
      </c>
      <c r="B31" s="43">
        <v>5</v>
      </c>
    </row>
    <row r="32" spans="1:12" x14ac:dyDescent="0.2">
      <c r="A32" s="47" t="s">
        <v>178</v>
      </c>
      <c r="B32" s="43">
        <v>3</v>
      </c>
    </row>
    <row r="33" spans="1:4" x14ac:dyDescent="0.2">
      <c r="A33" s="47" t="s">
        <v>174</v>
      </c>
      <c r="B33" s="43">
        <v>2.3370000000000002</v>
      </c>
    </row>
    <row r="34" spans="1:4" x14ac:dyDescent="0.2">
      <c r="A34" s="47" t="s">
        <v>179</v>
      </c>
      <c r="B34" s="43">
        <f>1/B33</f>
        <v>0.42789901583226353</v>
      </c>
    </row>
    <row r="35" spans="1:4" x14ac:dyDescent="0.2">
      <c r="A35" s="43"/>
      <c r="B35" s="43"/>
    </row>
    <row r="36" spans="1:4" x14ac:dyDescent="0.2">
      <c r="A36" s="43"/>
      <c r="B36" s="43"/>
    </row>
    <row r="37" spans="1:4" x14ac:dyDescent="0.2">
      <c r="A37" s="47" t="s">
        <v>181</v>
      </c>
      <c r="B37" s="43" t="e">
        <f>SQRT((B30*B34)^2)-((B28)^2)/(B31*B32)</f>
        <v>#VALUE!</v>
      </c>
      <c r="C37" s="43"/>
      <c r="D37" s="43"/>
    </row>
    <row r="38" spans="1:4" x14ac:dyDescent="0.2">
      <c r="A38" s="47" t="s">
        <v>182</v>
      </c>
      <c r="B38" s="43" t="e">
        <f>SQRT((B28)^2)+(B37)^2</f>
        <v>#VALUE!</v>
      </c>
      <c r="C38" s="43"/>
      <c r="D38" s="43"/>
    </row>
    <row r="39" spans="1:4" x14ac:dyDescent="0.2">
      <c r="A39" s="47" t="s">
        <v>189</v>
      </c>
      <c r="B39" s="48" t="e">
        <f>B38</f>
        <v>#VALUE!</v>
      </c>
    </row>
    <row r="43" spans="1:4" x14ac:dyDescent="0.2">
      <c r="B43" s="44" t="s">
        <v>184</v>
      </c>
      <c r="C43" s="44" t="s">
        <v>186</v>
      </c>
    </row>
    <row r="44" spans="1:4" x14ac:dyDescent="0.2">
      <c r="B44" s="44" t="s">
        <v>183</v>
      </c>
      <c r="C44" s="44" t="s">
        <v>187</v>
      </c>
    </row>
    <row r="45" spans="1:4" x14ac:dyDescent="0.2">
      <c r="A45" s="47"/>
      <c r="B45" s="44" t="s">
        <v>185</v>
      </c>
      <c r="C45" s="44" t="s">
        <v>188</v>
      </c>
      <c r="D45" s="43"/>
    </row>
    <row r="46" spans="1:4" x14ac:dyDescent="0.2">
      <c r="A46" s="47"/>
      <c r="B46" s="43"/>
      <c r="C46" s="43"/>
      <c r="D46" s="43"/>
    </row>
    <row r="47" spans="1:4" x14ac:dyDescent="0.2">
      <c r="A47" s="47"/>
    </row>
    <row r="48" spans="1:4" x14ac:dyDescent="0.2">
      <c r="A48" s="47"/>
      <c r="C48" s="59"/>
    </row>
    <row r="49" spans="1:3" x14ac:dyDescent="0.2">
      <c r="A49" s="47"/>
      <c r="C49" s="59"/>
    </row>
    <row r="50" spans="1:3" x14ac:dyDescent="0.2">
      <c r="A50" s="47"/>
    </row>
    <row r="56" spans="1:3" x14ac:dyDescent="0.2">
      <c r="B56" s="48"/>
    </row>
  </sheetData>
  <mergeCells count="20">
    <mergeCell ref="A8:A12"/>
    <mergeCell ref="H8:H12"/>
    <mergeCell ref="I8:I12"/>
    <mergeCell ref="J8:J12"/>
    <mergeCell ref="A1:A2"/>
    <mergeCell ref="B1:B2"/>
    <mergeCell ref="C1:E1"/>
    <mergeCell ref="F1:F2"/>
    <mergeCell ref="G1:G2"/>
    <mergeCell ref="L1:L2"/>
    <mergeCell ref="A3:A7"/>
    <mergeCell ref="H3:H7"/>
    <mergeCell ref="I3:I7"/>
    <mergeCell ref="J3:J7"/>
    <mergeCell ref="K1:K2"/>
    <mergeCell ref="A13:A17"/>
    <mergeCell ref="H13:H17"/>
    <mergeCell ref="I13:I17"/>
    <mergeCell ref="J13:J17"/>
    <mergeCell ref="C48:C4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6" bestFit="1" customWidth="1"/>
    <col min="2" max="2" width="17" style="36" bestFit="1" customWidth="1"/>
    <col min="3" max="3" width="15.140625" style="36" bestFit="1" customWidth="1"/>
    <col min="4" max="4" width="15.85546875" style="36" bestFit="1" customWidth="1"/>
    <col min="5" max="5" width="11.28515625" style="36" bestFit="1" customWidth="1"/>
    <col min="6" max="9" width="12.28515625" style="36" bestFit="1" customWidth="1"/>
    <col min="10" max="10" width="13.28515625" style="36" bestFit="1" customWidth="1"/>
    <col min="11" max="11" width="11.28515625" style="36" bestFit="1" customWidth="1"/>
    <col min="12" max="15" width="13.28515625" style="36" bestFit="1" customWidth="1"/>
    <col min="16" max="16" width="11.28515625" style="36" bestFit="1" customWidth="1"/>
    <col min="17" max="20" width="13.28515625" style="36" bestFit="1" customWidth="1"/>
    <col min="21" max="21" width="15.85546875" style="36" bestFit="1" customWidth="1"/>
    <col min="22" max="37" width="13.28515625" style="36" bestFit="1" customWidth="1"/>
    <col min="38" max="38" width="15.85546875" style="36" bestFit="1" customWidth="1"/>
    <col min="39" max="51" width="13.28515625" style="36" bestFit="1" customWidth="1"/>
    <col min="52" max="16384" width="9.140625" style="36"/>
  </cols>
  <sheetData>
    <row r="1" spans="1:52" ht="37.5" customHeight="1" x14ac:dyDescent="0.2">
      <c r="E1" s="61" t="s">
        <v>102</v>
      </c>
      <c r="F1" s="62"/>
      <c r="G1" s="62"/>
      <c r="H1" s="62"/>
      <c r="I1" s="62"/>
      <c r="J1" s="61" t="s">
        <v>103</v>
      </c>
      <c r="K1" s="62"/>
      <c r="L1" s="62"/>
      <c r="M1" s="62"/>
      <c r="N1" s="62"/>
      <c r="O1" s="61" t="s">
        <v>104</v>
      </c>
      <c r="P1" s="62"/>
      <c r="Q1" s="62"/>
      <c r="R1" s="62"/>
      <c r="S1" s="62"/>
      <c r="U1" s="61" t="s">
        <v>102</v>
      </c>
      <c r="V1" s="62"/>
      <c r="W1" s="62"/>
      <c r="X1" s="62"/>
      <c r="Y1" s="62"/>
      <c r="Z1" s="61" t="s">
        <v>103</v>
      </c>
      <c r="AA1" s="62"/>
      <c r="AB1" s="62"/>
      <c r="AC1" s="62"/>
      <c r="AD1" s="62"/>
      <c r="AE1" s="61" t="s">
        <v>104</v>
      </c>
      <c r="AF1" s="62"/>
      <c r="AG1" s="62"/>
      <c r="AH1" s="62"/>
      <c r="AI1" s="62"/>
    </row>
    <row r="2" spans="1:52" ht="28.5" customHeight="1" x14ac:dyDescent="0.2">
      <c r="A2" s="36" t="s">
        <v>108</v>
      </c>
      <c r="B2" s="36" t="s">
        <v>2</v>
      </c>
      <c r="C2" s="36" t="s">
        <v>109</v>
      </c>
      <c r="D2" s="5" t="s">
        <v>101</v>
      </c>
      <c r="E2" s="3" t="s">
        <v>110</v>
      </c>
      <c r="F2" s="3" t="s">
        <v>111</v>
      </c>
      <c r="G2" s="3" t="s">
        <v>112</v>
      </c>
      <c r="H2" s="3" t="s">
        <v>113</v>
      </c>
      <c r="I2" s="3" t="s">
        <v>114</v>
      </c>
      <c r="J2" s="3" t="s">
        <v>115</v>
      </c>
      <c r="K2" s="3" t="s">
        <v>116</v>
      </c>
      <c r="L2" s="3" t="s">
        <v>117</v>
      </c>
      <c r="M2" s="3" t="s">
        <v>118</v>
      </c>
      <c r="N2" s="3" t="s">
        <v>119</v>
      </c>
      <c r="O2" s="3" t="s">
        <v>120</v>
      </c>
      <c r="P2" s="3" t="s">
        <v>121</v>
      </c>
      <c r="Q2" s="3" t="s">
        <v>122</v>
      </c>
      <c r="R2" s="3" t="s">
        <v>123</v>
      </c>
      <c r="S2" s="3" t="s">
        <v>124</v>
      </c>
      <c r="T2" s="5" t="s">
        <v>105</v>
      </c>
      <c r="U2" s="5" t="s">
        <v>125</v>
      </c>
      <c r="V2" s="3" t="s">
        <v>126</v>
      </c>
      <c r="W2" s="3" t="s">
        <v>127</v>
      </c>
      <c r="X2" s="3" t="s">
        <v>128</v>
      </c>
      <c r="Y2" s="3" t="s">
        <v>129</v>
      </c>
      <c r="Z2" s="3" t="s">
        <v>130</v>
      </c>
      <c r="AA2" s="3" t="s">
        <v>131</v>
      </c>
      <c r="AB2" s="3" t="s">
        <v>132</v>
      </c>
      <c r="AC2" s="3" t="s">
        <v>133</v>
      </c>
      <c r="AD2" s="3" t="s">
        <v>134</v>
      </c>
      <c r="AE2" s="3" t="s">
        <v>135</v>
      </c>
      <c r="AF2" s="3" t="s">
        <v>139</v>
      </c>
      <c r="AG2" s="3" t="s">
        <v>138</v>
      </c>
      <c r="AH2" s="3" t="s">
        <v>137</v>
      </c>
      <c r="AI2" s="3" t="s">
        <v>136</v>
      </c>
      <c r="AJ2" s="5" t="s">
        <v>106</v>
      </c>
      <c r="AK2" s="3" t="s">
        <v>140</v>
      </c>
      <c r="AL2" s="5" t="s">
        <v>141</v>
      </c>
      <c r="AM2" s="3" t="s">
        <v>142</v>
      </c>
      <c r="AN2" s="3" t="s">
        <v>143</v>
      </c>
      <c r="AO2" s="3" t="s">
        <v>144</v>
      </c>
      <c r="AP2" s="3" t="s">
        <v>145</v>
      </c>
      <c r="AQ2" s="3" t="s">
        <v>146</v>
      </c>
      <c r="AR2" s="3" t="s">
        <v>147</v>
      </c>
      <c r="AS2" s="3" t="s">
        <v>148</v>
      </c>
      <c r="AT2" s="3" t="s">
        <v>149</v>
      </c>
      <c r="AU2" s="3" t="s">
        <v>150</v>
      </c>
      <c r="AV2" s="3" t="s">
        <v>151</v>
      </c>
      <c r="AW2" s="3" t="s">
        <v>152</v>
      </c>
      <c r="AX2" s="3" t="s">
        <v>153</v>
      </c>
      <c r="AY2" s="3" t="s">
        <v>154</v>
      </c>
      <c r="AZ2" s="37"/>
    </row>
    <row r="3" spans="1:52" x14ac:dyDescent="0.2">
      <c r="A3" s="37"/>
      <c r="D3" s="37"/>
      <c r="L3" s="37"/>
      <c r="T3" s="37"/>
      <c r="AB3" s="37"/>
      <c r="AJ3" s="37"/>
      <c r="AR3" s="37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2023-10-27T15:12:43Z</cp:lastPrinted>
  <dcterms:created xsi:type="dcterms:W3CDTF">2000-05-08T13:10:20Z</dcterms:created>
  <dcterms:modified xsi:type="dcterms:W3CDTF">2024-01-03T12:16:23Z</dcterms:modified>
  <cp:category/>
  <cp:contentStatus/>
</cp:coreProperties>
</file>