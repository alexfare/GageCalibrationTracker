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3.0\"/>
    </mc:Choice>
  </mc:AlternateContent>
  <xr:revisionPtr revIDLastSave="0" documentId="13_ncr:1_{5F28B858-B5CF-4F33-BC59-572BEBD6CF1C}"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dmin" sheetId="34" r:id="rId2"/>
    <sheet name="Credentials" sheetId="27" r:id="rId3"/>
    <sheet name="Lists" sheetId="28" r:id="rId4"/>
    <sheet name="Customers" sheetId="30" r:id="rId5"/>
    <sheet name="Calculations" sheetId="41" r:id="rId6"/>
    <sheet name="GageRnR" sheetId="37" r:id="rId7"/>
    <sheet name="Labels" sheetId="35" state="hidden" r:id="rId8"/>
    <sheet name="Format" sheetId="39" r:id="rId9"/>
  </sheets>
  <functionGroups builtInGroupCount="19"/>
  <definedNames>
    <definedName name="_xlnm._FilterDatabase" localSheetId="0" hidden="1">CreatedByAlexFare!$Z$2:$AK$3</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A4" i="35"/>
  <c r="J1" i="13"/>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<sst xmlns="http://schemas.openxmlformats.org/spreadsheetml/2006/main" count="228" uniqueCount="204">
  <si>
    <t>Gage Calibration Tracker</t>
  </si>
  <si>
    <t>Gage ID</t>
  </si>
  <si>
    <t>Part Number</t>
  </si>
  <si>
    <t>Description</t>
  </si>
  <si>
    <t>Gage Type</t>
  </si>
  <si>
    <t>Customer</t>
  </si>
  <si>
    <t>Calibration Date</t>
  </si>
  <si>
    <t>Due Date</t>
  </si>
  <si>
    <t>Initials</t>
  </si>
  <si>
    <t>Department</t>
  </si>
  <si>
    <t>Comments</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</si>
  <si>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</si>
  <si>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</si>
  <si>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</si>
  <si>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</si>
  <si>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</si>
  <si>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</si>
  <si>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</si>
  <si>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</si>
  <si>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</si>
  <si>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</si>
  <si>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</si>
  <si>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</si>
  <si>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</si>
  <si>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</si>
  <si>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</si>
  <si>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</si>
  <si>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</si>
  <si>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</si>
  <si>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</si>
  <si>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</si>
  <si>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</si>
  <si>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</si>
  <si>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</si>
  <si>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</si>
  <si>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</si>
  <si>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</si>
  <si>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</si>
  <si>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</si>
  <si>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</si>
  <si>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</si>
  <si>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</si>
  <si>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</si>
  <si>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</si>
  <si>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</si>
  <si>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</si>
  <si>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</si>
  <si>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</si>
  <si>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</si>
  <si>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</si>
  <si>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</si>
  <si>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</si>
  <si>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</si>
  <si>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</si>
  <si>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</si>
  <si>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</si>
  <si>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</si>
  <si>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</si>
  <si>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</si>
  <si>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</si>
  <si>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</si>
  <si>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</si>
  <si>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</si>
  <si>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</si>
  <si>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</si>
  <si>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</si>
  <si>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</si>
  <si>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</si>
  <si>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</si>
  <si>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</si>
  <si>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</si>
  <si>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</si>
  <si>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</si>
  <si>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</si>
  <si>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</si>
  <si>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</si>
  <si>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</si>
  <si>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</si>
  <si>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</si>
  <si>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</si>
  <si>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</si>
  <si>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</si>
  <si>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</si>
  <si>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</si>
  <si>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</si>
  <si>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</si>
  <si>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</si>
  <si>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</si>
  <si>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</si>
  <si>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</si>
  <si>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</si>
  <si>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</si>
  <si>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</si>
  <si>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</si>
  <si>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</si>
  <si>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</si>
  <si>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</si>
  <si>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</si>
  <si>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</si>
  <si>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</si>
  <si>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</si>
  <si>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</si>
  <si>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</si>
  <si>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</si>
  <si>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</si>
  <si>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</si>
  <si>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</si>
  <si>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</si>
  <si>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</si>
  <si>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</si>
  <si>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</si>
  <si>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</si>
  <si>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</si>
  <si>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</si>
  <si>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</si>
  <si>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</si>
  <si>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</si>
  <si>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</si>
  <si>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</si>
  <si>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</si>
  <si>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</si>
  <si>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</si>
  <si>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</si>
  <si>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</si>
  <si>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</si>
  <si>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</si>
  <si>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</si>
  <si>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</si>
  <si>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</si>
  <si>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</si>
  <si>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</si>
  <si>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</si>
  <si>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</si>
  <si>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</si>
  <si>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</si>
  <si>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</si>
  <si>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</si>
  <si>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</si>
  <si>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</si>
  <si>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</si>
  <si>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</si>
  <si>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</si>
  <si>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</si>
  <si>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</si>
  <si>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</si>
  <si>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</si>
  <si>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</si>
  <si>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</si>
  <si>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</si>
  <si>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</si>
  <si>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</si>
  <si>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</si>
  <si>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</si>
  <si>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</si>
  <si>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</si>
  <si>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</si>
  <si>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</si>
  <si>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</si>
  <si>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</si>
  <si>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</si>
  <si>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</si>
  <si>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</si>
  <si>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</si>
  <si>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</si>
  <si>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</si>
  <si>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</si>
  <si>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</si>
  <si>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</si>
  <si>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</si>
  <si>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</si>
  <si>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</si>
  <si>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</si>
  <si>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</si>
  <si>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</si>
  <si>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</si>
  <si>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</si>
  <si>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</si>
  <si>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</si>
  <si>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</si>
  <si>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</si>
  <si>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</si>
  <si>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</si>
  <si>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</si>
  <si>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</si>
  <si>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</si>
  <si>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</si>
  <si>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</si>
  <si>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</si>
  <si>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</si>
  <si>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</si>
  <si>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</si>
  <si>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</si>
  <si>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</si>
  <si>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</si>
  <si>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</si>
  <si>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</si>
  <si>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</si>
  <si>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</si>
  <si>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</si>
  <si>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</si>
  <si>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no</t>
  </si>
  <si>
    <t>Range OP1</t>
  </si>
  <si>
    <t>NIST #</t>
  </si>
  <si>
    <t>v4.3.0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</si>
</sst>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6"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7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wrapText="1"/>
    </xf>
    <xf numFmtId="0" fontId="1" fillId="0" borderId="0" xfId="2" applyAlignment="1">
      <alignment horizont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19">
    <dxf>
      <font>
        <color theme="0"/>
      </font>
    </dxf>
    <dxf>
      <fill>
        <patternFill>
          <bgColor rgb="FF92D050"/>
        </patternFill>
      </fill>
    </dxf>
    <dxf>
      <fill>
        <patternFill>
          <bgColor rgb="FFFF000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1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2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6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8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8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7" dataDxfId="115" headerRowBorderDxfId="116" tableBorderDxfId="114" totalsRowBorderDxfId="113"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2" dataCellStyle="Normal"/>
    <tableColumn id="2" xr3:uid="{00000000-0010-0000-0000-000002000000}" name="Part Number" dataDxfId="111" dataCellStyle="Normal"/>
    <tableColumn id="3" xr3:uid="{00000000-0010-0000-0000-000003000000}" name="Description" dataDxfId="110" dataCellStyle="Normal"/>
    <tableColumn id="28" xr3:uid="{00000000-0010-0000-0000-00001C000000}" name="Gage Type" dataDxfId="109" dataCellStyle="Normal"/>
    <tableColumn id="4" xr3:uid="{00000000-0010-0000-0000-000004000000}" name="Customer" dataDxfId="108" dataCellStyle="Normal"/>
    <tableColumn id="6" xr3:uid="{00000000-0010-0000-0000-000006000000}" name="Calibration Date" dataDxfId="107" dataCellStyle="Normal"/>
    <tableColumn id="13" xr3:uid="{00000000-0010-0000-0000-00000D000000}" name="Due Date" dataDxfId="106" dataCellStyle="Normal"/>
    <tableColumn id="14" xr3:uid="{00000000-0010-0000-0000-00000E000000}" name="Initials" dataDxfId="105" dataCellStyle="Normal"/>
    <tableColumn id="15" xr3:uid="{00000000-0010-0000-0000-00000F000000}" name="Department" dataDxfId="104" dataCellStyle="Normal"/>
    <tableColumn id="18" xr3:uid="{00000000-0010-0000-0000-000012000000}" name="Comments" dataDxfId="103" dataCellStyle="Normal"/>
    <tableColumn id="5" xr3:uid="{0F3B4C93-D35C-4EFD-B400-D5D30B56A5EB}" name="Part Rev" dataDxfId="102" dataCellStyle="Normal"/>
    <tableColumn id="7" xr3:uid="{A11B9BF7-7DC4-4FD3-9478-638E60DC1AA8}" name="Serial#" dataDxfId="101" dataCellStyle="Normal"/>
    <tableColumn id="8" xr3:uid="{26F829FB-B90C-491D-A3CA-2F936089F7FC}" name="Owner" dataDxfId="100" dataCellStyle="Normal"/>
    <tableColumn id="9" xr3:uid="{C493B276-266D-445A-95F0-05AE67E31DF8}" name="NIST #" dataDxfId="99" dataCellStyle="Normal"/>
    <tableColumn id="10" xr3:uid="{3961D265-607E-4D63-9E30-12308999C28E}" name="Column5" dataDxfId="98" dataCellStyle="Normal"/>
    <tableColumn id="11" xr3:uid="{7DDC762E-1713-4459-B406-537227866BF9}" name="Column6" dataDxfId="97" dataCellStyle="Normal"/>
    <tableColumn id="12" xr3:uid="{1663616E-BFED-4012-BD03-1DAFE6DB4EAC}" name="Column7" dataDxfId="96" dataCellStyle="Normal"/>
    <tableColumn id="16" xr3:uid="{3C729E71-C890-44D5-A7EB-E1729AE9DC7C}" name="Column8" dataDxfId="95" dataCellStyle="Normal"/>
    <tableColumn id="17" xr3:uid="{B9F34C95-A8E5-45CC-A330-F0D9C5BD9F56}" name="Column9" dataDxfId="94" dataCellStyle="Normal"/>
    <tableColumn id="19" xr3:uid="{87E78562-5173-4D8F-BF6E-8E05C4254F05}" name="Column10" dataDxfId="93" dataCellStyle="Normal"/>
    <tableColumn id="20" xr3:uid="{4009E320-37FA-4FA8-920E-62CD8239BFB1}" name="Column11" dataDxfId="92" dataCellStyle="Normal"/>
    <tableColumn id="21" xr3:uid="{21709794-CD08-4547-8296-10AD01B59911}" name="Column12" dataDxfId="91" dataCellStyle="Normal"/>
    <tableColumn id="22" xr3:uid="{F39C032E-7585-4A3E-A1C0-245EDE78FD3D}" name="Column13" dataDxfId="90" dataCellStyle="Normal"/>
    <tableColumn id="23" xr3:uid="{BD015AF3-24F7-4360-AE1C-B3EBC8EF271E}" name="Column14" dataDxfId="89" dataCellStyle="Normal"/>
    <tableColumn id="24" xr3:uid="{174F2E2E-532C-4F73-BC1B-A6BD4562C391}" name="Column15" dataDxfId="88" dataCellStyle="Normal"/>
    <tableColumn id="25" xr3:uid="{3D3740C6-205E-4C3B-8B92-2CF8D7276751}" name="Status" dataDxfId="87" dataCellStyle="Normal"/>
    <tableColumn id="26" xr3:uid="{F302B3B8-726D-437B-AE96-924B96DD02A9}" name="aN1" dataDxfId="86" dataCellStyle="Normal"/>
    <tableColumn id="27" xr3:uid="{3A1E958A-2D55-4C38-AA07-147E040F2039}" name="aA1" dataDxfId="85" dataCellStyle="Normal"/>
    <tableColumn id="29" xr3:uid="{3CF72203-9A71-4747-B9BD-0B343E238B2C}" name="aN2" dataDxfId="84" dataCellStyle="Normal"/>
    <tableColumn id="30" xr3:uid="{EFA9826E-E596-491C-8105-9FECD19B415B}" name="aA2" dataDxfId="83" dataCellStyle="Normal"/>
    <tableColumn id="31" xr3:uid="{ACD27D31-BCC1-4277-A69A-FCD29F8E0708}" name="aN3" dataDxfId="82" dataCellStyle="Normal"/>
    <tableColumn id="32" xr3:uid="{6FFC087D-F750-4A9F-A0C4-B07E16ED8562}" name="aA3" dataDxfId="81" dataCellStyle="Normal"/>
    <tableColumn id="33" xr3:uid="{4DE94D4A-66B8-47AB-B341-C2B2252AB00E}" name="aN4" dataDxfId="80" dataCellStyle="Normal"/>
    <tableColumn id="34" xr3:uid="{76D8C600-BCC1-4D14-9315-013D25B69F46}" name="aA4" dataDxfId="79" dataCellStyle="Normal"/>
    <tableColumn id="35" xr3:uid="{D3EC9C14-7821-46E6-850E-0286AFDB0D24}" name="aN5" dataDxfId="78" dataCellStyle="Normal"/>
    <tableColumn id="36" xr3:uid="{DDBCAFCA-129D-4BF2-B73C-8A83EA0C5490}" name="aA5" dataDxfId="77" dataCellStyle="Normal"/>
    <tableColumn id="37" xr3:uid="{2DE193DF-382B-4934-80F9-03B1BB192386}" name="Dated Added" dataDxfId="76" dataCellStyle="Normal"/>
    <tableColumn id="38" xr3:uid="{03B9D41A-44A7-4888-A296-04FBDB05A292}" name="Last Edited" dataDxfId="75" dataCellStyle="Normal"/>
    <tableColumn id="39" xr3:uid="{9E0B8D91-13F8-42E3-8BBD-3B2241BC4C32}" name="Last Searched" dataDxfId="74" dataCellStyle="Normal"/>
    <tableColumn id="40" xr3:uid="{4F35AD6F-9C9B-4E17-BE8B-B0F61729F2DF}" name="Last User" dataDxfId="73" dataCellStyle="Normal"/>
    <tableColumn id="41" xr3:uid="{B36EB548-EE6A-4C73-B269-5F2542373FA9}" name="Attachment" dataDxfId="72"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71" dataDxfId="70">
  <autoFilter ref="A1:H2" xr:uid="{5CDBBC90-E356-4AF3-8E2D-746A3FF6ED4F}"/>
  <tableColumns count="8">
    <tableColumn id="1" xr3:uid="{00248448-9583-4BF4-8219-C71E3BF5723A}" name="Username" dataDxfId="69"/>
    <tableColumn id="2" xr3:uid="{E62986C9-719D-4642-8175-2FAE8B4080D1}" name="Password" dataDxfId="68"/>
    <tableColumn id="3" xr3:uid="{32583A32-F66F-4869-A51C-611BC0019ACC}" name="Name" dataDxfId="67"/>
    <tableColumn id="4" xr3:uid="{6A26537B-3C80-40CA-9ABA-26F1F974DFF9}" name="Phone Number" dataDxfId="66"/>
    <tableColumn id="5" xr3:uid="{FB9FAC29-D9B4-44ED-9C2A-8903C5A17DD0}" name="Address" dataDxfId="65"/>
    <tableColumn id="6" xr3:uid="{508FB15F-1DF8-4E79-BB18-F656AA929A24}" name="Job Position" dataDxfId="64"/>
    <tableColumn id="7" xr3:uid="{162140D5-7A7B-4BD5-86DC-5054B0EA286B}" name="Email" dataDxfId="63"/>
    <tableColumn id="8" xr3:uid="{5906258B-1C2E-4B9F-8FAB-AB0939B7BD24}" name="IsSuperAdmin?" dataDxfId="6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61" dataDxfId="60">
  <autoFilter ref="A1:D2" xr:uid="{5CDBBC90-E356-4AF3-8E2D-746A3FF6ED4F}"/>
  <sortState xmlns:xlrd2="http://schemas.microsoft.com/office/spreadsheetml/2017/richdata2" ref="A2:D2">
    <sortCondition ref="A1:A2"/>
  </sortState>
  <tableColumns count="4">
    <tableColumn id="1" xr3:uid="{53E87D0C-413F-4791-99EC-F7A9AC77DA78}" name="Name" dataDxfId="59"/>
    <tableColumn id="2" xr3:uid="{CB37280F-EB2D-46BD-B6F0-F21F0814DBBE}" name="Address" dataDxfId="58"/>
    <tableColumn id="3" xr3:uid="{2E779FE0-D124-4AE5-82BC-7D22EF010A5B}" name="Phone" dataDxfId="57"/>
    <tableColumn id="4" xr3:uid="{9A63C2B0-23F3-4E13-95E7-6D8148D4D30C}" name="Website" dataDxfId="5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5" dataDxfId="54">
  <autoFilter ref="A2:AY3" xr:uid="{E044635F-005D-4410-A1E3-2D61D2A8A205}"/>
  <tableColumns count="51">
    <tableColumn id="1" xr3:uid="{C61E81B3-D9BC-4AB4-BD96-5AE01CC22887}" name="Gage Number" dataDxfId="53"/>
    <tableColumn id="2" xr3:uid="{1E9D9336-6246-4DDD-AFB0-C7880EA97BB4}" name="Part Number" dataDxfId="52"/>
    <tableColumn id="3" xr3:uid="{F668BC05-7B8F-4B10-B615-A74E8EC876BF}" name="Part Name" dataDxfId="51"/>
    <tableColumn id="4" xr3:uid="{6599964C-1FBA-4A66-9DCE-2FBCF9543821}" name="Appraiser 1" dataDxfId="50"/>
    <tableColumn id="5" xr3:uid="{24691DF2-46E5-454B-9F8C-B759D626BA8F}" name="a1t1Part 1" dataDxfId="49"/>
    <tableColumn id="6" xr3:uid="{B58A7CAC-4C7D-4585-8FAC-34E6B5575035}" name="a1t1Part 2" dataDxfId="48"/>
    <tableColumn id="7" xr3:uid="{1CB486A1-3C2C-4C95-BD4D-18D7D4D3D69C}" name="a1t1Part 3" dataDxfId="47"/>
    <tableColumn id="8" xr3:uid="{4AF8999F-EB95-43AB-A0D0-48C5336BD545}" name="a1t1Part 4" dataDxfId="46"/>
    <tableColumn id="9" xr3:uid="{9DC6F743-47AB-4F83-8886-C329B0527DB6}" name="a1t1Part 5" dataDxfId="45"/>
    <tableColumn id="15" xr3:uid="{C72F17E8-D9E8-4F14-93DA-BF1D59C063FF}" name="a1t2Part 1" dataDxfId="44"/>
    <tableColumn id="16" xr3:uid="{D7455557-6FF5-41BE-A8D3-A1B9817E9C08}" name="a1t2Part 2" dataDxfId="43"/>
    <tableColumn id="17" xr3:uid="{902AAAE2-8C2A-4809-AC86-DE7F1F807C61}" name="a1t2Part 3" dataDxfId="42"/>
    <tableColumn id="18" xr3:uid="{5DF74AE3-A1CA-4DD8-B82B-A025F4A46F55}" name="a1t2Part 4" dataDxfId="41"/>
    <tableColumn id="19" xr3:uid="{B26550A0-1BF8-43A9-8792-9DBCB9F40259}" name="a1t2Part 5" dataDxfId="40"/>
    <tableColumn id="25" xr3:uid="{080B0E44-DD32-4851-9A95-766EEE0C4E40}" name="a1t3Part 1" dataDxfId="39"/>
    <tableColumn id="26" xr3:uid="{16C7D9D5-D232-4ACC-9CA3-2343B5BBF7E1}" name="a1t3Part 2" dataDxfId="38"/>
    <tableColumn id="27" xr3:uid="{6299EB93-6A79-4800-82D9-C3FA2A131FCE}" name="a1t3Part 3" dataDxfId="37"/>
    <tableColumn id="28" xr3:uid="{7BC72014-EAAF-4085-A1B0-BF1E891D7A21}" name="a1t3Part 4" dataDxfId="36"/>
    <tableColumn id="29" xr3:uid="{1B578E53-CFFA-4D4C-A09B-CDBECE16CBD8}" name="a1t3Part 5" dataDxfId="35"/>
    <tableColumn id="35" xr3:uid="{C56B56F0-06EC-4396-896D-56C8C5514523}" name="Appraiser 2" dataDxfId="34"/>
    <tableColumn id="36" xr3:uid="{5B35D13A-9C9B-459E-A5B6-E77122034F92}" name="a2t1Part 1" dataDxfId="33"/>
    <tableColumn id="37" xr3:uid="{0632A423-5908-4197-95CE-65C3C380B5B2}" name="a2t1Part 2" dataDxfId="32"/>
    <tableColumn id="38" xr3:uid="{A3AA4C96-F7C5-4D8B-9A09-1B322C763515}" name="a2t1Part 3" dataDxfId="31"/>
    <tableColumn id="39" xr3:uid="{D6915093-8283-4CB2-AD97-3E0F3B39BFEF}" name="a2t1Part 4" dataDxfId="30"/>
    <tableColumn id="40" xr3:uid="{95CA6058-A016-468D-9779-CED4AC4D5047}" name="a2t1Part 5" dataDxfId="29"/>
    <tableColumn id="46" xr3:uid="{C8F01277-F04E-4D8E-B1E6-81BDC02D25FF}" name="a2t2Part 1" dataDxfId="28"/>
    <tableColumn id="47" xr3:uid="{61B90D3A-CB21-4022-83E4-E5AF3AB7F01C}" name="a2t2Part 2" dataDxfId="27"/>
    <tableColumn id="48" xr3:uid="{6C587150-FD00-482E-A350-962CA079B7DF}" name="a2t2Part 3" dataDxfId="26"/>
    <tableColumn id="49" xr3:uid="{B8809B6D-E9D9-4930-AC16-0C482543C005}" name="a2t2Part 4" dataDxfId="25"/>
    <tableColumn id="50" xr3:uid="{F807B6BD-0F92-496B-8D02-6F05A297E99C}" name="a2t2Part 5" dataDxfId="24"/>
    <tableColumn id="56" xr3:uid="{4FA0A57D-F066-4CA1-A0BB-689B8D651959}" name="a2t3Part 1" dataDxfId="23"/>
    <tableColumn id="57" xr3:uid="{981BC013-0674-43DF-BDDB-EBE0D0C02842}" name="a2t3Part 2" dataDxfId="22"/>
    <tableColumn id="58" xr3:uid="{40F49A9B-8615-44BD-9197-89E20EF4041B}" name="a2t3Part 3" dataDxfId="21"/>
    <tableColumn id="59" xr3:uid="{88DCF84A-1E7C-484C-9331-585E96727FD5}" name="a2t3Part 4" dataDxfId="20"/>
    <tableColumn id="60" xr3:uid="{6F2AE569-7D0E-4D21-A087-DF121E37916B}" name="a2t3Part 5" dataDxfId="19"/>
    <tableColumn id="66" xr3:uid="{1665A9A8-11E8-46D7-802F-77CADA95FE17}" name="Appraiser 3" dataDxfId="18"/>
    <tableColumn id="67" xr3:uid="{6B35A409-EAE4-4709-B22D-11D16E758166}" name="a3t1Part 1" dataDxfId="17"/>
    <tableColumn id="68" xr3:uid="{F824CB68-83FC-461C-ABBA-D0DD0D07C81C}" name="a3t1Part 2" dataDxfId="16"/>
    <tableColumn id="69" xr3:uid="{60210B7C-D352-428C-A346-D0705F7CF883}" name="a3t1Part 3" dataDxfId="15"/>
    <tableColumn id="70" xr3:uid="{0BF81441-8568-4D13-BAEA-D55E29DD44C2}" name="a3t1Part 4" dataDxfId="14"/>
    <tableColumn id="71" xr3:uid="{46FEA28F-F389-4348-BFAF-C01916FE9592}" name="a3t1Part 5" dataDxfId="13"/>
    <tableColumn id="77" xr3:uid="{7CF53091-8952-4C46-B6B0-064424E66617}" name="a3t2Part 1" dataDxfId="12"/>
    <tableColumn id="78" xr3:uid="{D261E3E9-75C6-43C7-A3E2-EEF8219B086F}" name="a3t2Part 2" dataDxfId="11"/>
    <tableColumn id="79" xr3:uid="{C770ABFC-8EA5-4824-972E-B74AA5756625}" name="a3t2Part 3" dataDxfId="10"/>
    <tableColumn id="80" xr3:uid="{B3B04B58-976D-4044-B1B7-BD990E56AF1F}" name="a3t2Part 4" dataDxfId="9"/>
    <tableColumn id="81" xr3:uid="{CF0C93CD-D098-4A62-8AC2-CD3611B94FE6}" name="a3t2Part 5" dataDxfId="8"/>
    <tableColumn id="87" xr3:uid="{23BA228A-0092-43EE-8B91-3ACDC0217DE5}" name="a3t3Part 1" dataDxfId="7"/>
    <tableColumn id="88" xr3:uid="{0CE26BA6-226F-4EBE-BC5A-55E6D4D135DA}" name="a3t3Part 2" dataDxfId="6"/>
    <tableColumn id="89" xr3:uid="{A044DEDB-9A27-45FC-9B95-2FE69A188D8D}" name="a3t3Part 3" dataDxfId="5"/>
    <tableColumn id="90" xr3:uid="{38CB87FA-ED90-4F7E-B3EC-194128A8CD9B}" name="a3t3Part 4" dataDxfId="4"/>
    <tableColumn id="91" xr3:uid="{CB8BC416-8F0E-46AA-AFF6-3B0BE3E6FAD5}" name="a3t3Part 5" dataDxfId="3"/>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J1" sqref="J1"/>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2" t="s">
        <v>0</v>
      </c>
      <c r="B1" s="53"/>
      <c r="C1" s="53"/>
      <c r="D1" s="53"/>
      <c r="E1" s="53"/>
      <c r="F1" s="53"/>
      <c r="G1" s="53"/>
      <c r="H1" s="53"/>
      <c r="I1" s="33">
        <f ca="1">TODAY()</f>
        <v>45191</v>
      </c>
      <c r="J1" s="45">
        <f ca="1">TODAY()</f>
        <v>45191</v>
      </c>
      <c r="K1" s="34"/>
      <c r="L1" s="34"/>
      <c r="M1" s="34"/>
      <c r="N1" s="34"/>
      <c r="O1" s="34"/>
      <c r="P1" s="34"/>
      <c r="Q1" s="34"/>
      <c r="R1" s="34"/>
      <c r="S1" s="34"/>
      <c r="T1" s="34"/>
      <c r="U1" s="34"/>
      <c r="V1" s="34"/>
      <c r="W1" s="34"/>
      <c r="X1" s="34"/>
      <c r="Y1" s="34"/>
      <c r="Z1" s="34" t="s">
        <v>203</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194</v>
      </c>
      <c r="L2" s="31" t="s">
        <v>195</v>
      </c>
      <c r="M2" s="30" t="s">
        <v>198</v>
      </c>
      <c r="N2" s="30" t="s">
        <v>202</v>
      </c>
      <c r="O2" s="30" t="s">
        <v>11</v>
      </c>
      <c r="P2" s="30" t="s">
        <v>12</v>
      </c>
      <c r="Q2" s="30" t="s">
        <v>13</v>
      </c>
      <c r="R2" s="30" t="s">
        <v>14</v>
      </c>
      <c r="S2" s="30" t="s">
        <v>15</v>
      </c>
      <c r="T2" s="30" t="s">
        <v>16</v>
      </c>
      <c r="U2" s="30" t="s">
        <v>17</v>
      </c>
      <c r="V2" s="30" t="s">
        <v>18</v>
      </c>
      <c r="W2" s="30" t="s">
        <v>19</v>
      </c>
      <c r="X2" s="30" t="s">
        <v>20</v>
      </c>
      <c r="Y2" s="30" t="s">
        <v>21</v>
      </c>
      <c r="Z2" s="32" t="s">
        <v>22</v>
      </c>
      <c r="AA2" s="30" t="s">
        <v>23</v>
      </c>
      <c r="AB2" s="30" t="s">
        <v>24</v>
      </c>
      <c r="AC2" s="30" t="s">
        <v>25</v>
      </c>
      <c r="AD2" s="30" t="s">
        <v>26</v>
      </c>
      <c r="AE2" s="30" t="s">
        <v>27</v>
      </c>
      <c r="AF2" s="30" t="s">
        <v>28</v>
      </c>
      <c r="AG2" s="30" t="s">
        <v>29</v>
      </c>
      <c r="AH2" s="30" t="s">
        <v>30</v>
      </c>
      <c r="AI2" s="30" t="s">
        <v>31</v>
      </c>
      <c r="AJ2" s="30" t="s">
        <v>32</v>
      </c>
      <c r="AK2" s="31" t="s">
        <v>33</v>
      </c>
      <c r="AL2" s="31" t="s">
        <v>34</v>
      </c>
      <c r="AM2" s="31" t="s">
        <v>35</v>
      </c>
      <c r="AN2" s="30" t="s">
        <v>36</v>
      </c>
      <c r="AO2" s="30" t="s">
        <v>110</v>
      </c>
      <c r="AP2" s="36"/>
    </row>
    <row r="3" spans="1:42" s="7" customFormat="1" ht="16.350000000000001" customHeight="1" x14ac:dyDescent="0.2">
      <c r="A3" s="3"/>
      <c r="B3" s="3"/>
      <c r="C3" s="3"/>
      <c r="D3" s="3"/>
      <c r="E3" s="3"/>
      <c r="F3" s="42"/>
      <c r="G3" s="4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A66" sqref="A66"/>
    </sheetView>
  </sheetViews>
  <sheetFormatPr defaultRowHeight="12.75" x14ac:dyDescent="0.2"/>
  <cols>
    <col min="1" max="1" width="19.42578125" customWidth="1"/>
    <col min="2" max="2" width="11.28515625" bestFit="1" customWidth="1"/>
  </cols>
  <sheetData>
    <row r="1" spans="1:2" ht="15.75" x14ac:dyDescent="0.25">
      <c r="A1" s="25" t="s">
        <v>102</v>
      </c>
    </row>
    <row r="2" spans="1:2" x14ac:dyDescent="0.2">
      <c r="A2" t="s">
        <v>80</v>
      </c>
    </row>
    <row r="3" spans="1:2" x14ac:dyDescent="0.2">
      <c r="A3" t="s">
        <v>69</v>
      </c>
    </row>
    <row r="4" spans="1:2" x14ac:dyDescent="0.2">
      <c r="A4" t="s">
        <v>70</v>
      </c>
    </row>
    <row r="5" spans="1:2" x14ac:dyDescent="0.2">
      <c r="A5" s="6" t="s">
        <v>79</v>
      </c>
      <c r="B5" s="6"/>
    </row>
    <row r="6" spans="1:2" x14ac:dyDescent="0.2">
      <c r="A6" t="s">
        <v>81</v>
      </c>
    </row>
    <row r="7" spans="1:2" x14ac:dyDescent="0.2">
      <c r="A7" t="s">
        <v>82</v>
      </c>
    </row>
    <row r="8" spans="1:2" x14ac:dyDescent="0.2">
      <c r="A8" t="s">
        <v>83</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84</v>
      </c>
    </row>
    <row r="26" spans="1:1" x14ac:dyDescent="0.2">
      <c r="A26" s="6" t="s">
        <v>85</v>
      </c>
    </row>
    <row r="27" spans="1:1" x14ac:dyDescent="0.2">
      <c r="A27" s="6" t="s">
        <v>86</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5" t="s">
        <v>101</v>
      </c>
    </row>
    <row r="47" spans="1:2" x14ac:dyDescent="0.2">
      <c r="A47" s="6" t="s">
        <v>87</v>
      </c>
    </row>
    <row r="48" spans="1:2" x14ac:dyDescent="0.2">
      <c r="A48" s="6" t="s">
        <v>88</v>
      </c>
      <c r="B48">
        <v>1</v>
      </c>
    </row>
    <row r="49" spans="1:5" x14ac:dyDescent="0.2">
      <c r="A49" s="6" t="s">
        <v>89</v>
      </c>
    </row>
    <row r="50" spans="1:5" x14ac:dyDescent="0.2">
      <c r="A50" s="6" t="s">
        <v>90</v>
      </c>
    </row>
    <row r="51" spans="1:5" x14ac:dyDescent="0.2">
      <c r="A51" s="6" t="s">
        <v>91</v>
      </c>
    </row>
    <row r="52" spans="1:5" x14ac:dyDescent="0.2">
      <c r="A52" s="6" t="s">
        <v>103</v>
      </c>
      <c r="B52" t="s">
        <v>161</v>
      </c>
    </row>
    <row r="53" spans="1:5" x14ac:dyDescent="0.2">
      <c r="A53" s="6" t="s">
        <v>97</v>
      </c>
    </row>
    <row r="54" spans="1:5" x14ac:dyDescent="0.2">
      <c r="A54" s="6" t="s">
        <v>159</v>
      </c>
    </row>
    <row r="55" spans="1:5" x14ac:dyDescent="0.2">
      <c r="A55" s="6" t="s">
        <v>98</v>
      </c>
      <c r="B55">
        <v>2</v>
      </c>
      <c r="C55" s="54" t="s">
        <v>100</v>
      </c>
      <c r="D55" s="54"/>
      <c r="E55" s="54"/>
    </row>
    <row r="56" spans="1:5" x14ac:dyDescent="0.2">
      <c r="A56" s="6" t="s">
        <v>99</v>
      </c>
      <c r="C56" s="54" t="s">
        <v>100</v>
      </c>
      <c r="D56" s="54"/>
      <c r="E56" s="54"/>
    </row>
    <row r="57" spans="1:5" x14ac:dyDescent="0.2">
      <c r="A57" s="6" t="s">
        <v>96</v>
      </c>
      <c r="C57" s="43" t="s">
        <v>162</v>
      </c>
      <c r="D57" s="44"/>
      <c r="E57" s="44"/>
    </row>
    <row r="58" spans="1:5" hidden="1" x14ac:dyDescent="0.2">
      <c r="A58" s="6"/>
      <c r="C58" s="44"/>
      <c r="D58" s="44"/>
      <c r="E58" s="44"/>
    </row>
    <row r="59" spans="1:5" x14ac:dyDescent="0.2">
      <c r="A59" s="6" t="s">
        <v>160</v>
      </c>
      <c r="C59" s="54" t="s">
        <v>100</v>
      </c>
      <c r="D59" s="54"/>
      <c r="E59" s="54"/>
    </row>
    <row r="60" spans="1:5" x14ac:dyDescent="0.2">
      <c r="A60" s="6" t="s">
        <v>163</v>
      </c>
      <c r="C60" s="54" t="s">
        <v>100</v>
      </c>
      <c r="D60" s="54"/>
      <c r="E60" s="54"/>
    </row>
    <row r="61" spans="1:5" x14ac:dyDescent="0.2">
      <c r="A61" s="6" t="s">
        <v>164</v>
      </c>
      <c r="C61" s="54" t="s">
        <v>165</v>
      </c>
      <c r="D61" s="54"/>
      <c r="E61" s="54"/>
    </row>
    <row r="62" spans="1:5" x14ac:dyDescent="0.2">
      <c r="A62" s="6" t="s">
        <v>196</v>
      </c>
      <c r="C62" s="54" t="s">
        <v>197</v>
      </c>
      <c r="D62" s="54"/>
      <c r="E62" s="54"/>
    </row>
    <row r="63" spans="1:5" x14ac:dyDescent="0.2">
      <c r="A63" s="6"/>
      <c r="B63" s="6"/>
    </row>
    <row r="226" spans="38:38" x14ac:dyDescent="0.2">
      <c r="AL226" s="39">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B4" sqref="B4"/>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66</v>
      </c>
      <c r="B1" s="6" t="s">
        <v>67</v>
      </c>
      <c r="C1" s="6" t="s">
        <v>68</v>
      </c>
      <c r="D1" s="6" t="s">
        <v>69</v>
      </c>
      <c r="E1" s="6" t="s">
        <v>70</v>
      </c>
      <c r="F1" s="6" t="s">
        <v>71</v>
      </c>
      <c r="G1" s="6" t="s">
        <v>72</v>
      </c>
      <c r="H1" s="6" t="s">
        <v>199</v>
      </c>
    </row>
    <row r="2" spans="1:8" x14ac:dyDescent="0.2">
      <c r="A2" s="6" t="s">
        <v>161</v>
      </c>
      <c r="B2" s="6" t="s">
        <v>166</v>
      </c>
      <c r="C2" s="6"/>
      <c r="D2" s="6"/>
      <c r="E2" s="6"/>
      <c r="F2" s="6" t="s">
        <v>161</v>
      </c>
      <c r="G2" s="6"/>
      <c r="H2" s="6" t="s">
        <v>200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73</v>
      </c>
      <c r="B1" s="11" t="s">
        <v>74</v>
      </c>
      <c r="C1" s="12" t="s">
        <v>75</v>
      </c>
      <c r="D1" s="12"/>
      <c r="E1" s="12"/>
      <c r="F1" s="12"/>
    </row>
    <row r="2" spans="1:6" x14ac:dyDescent="0.2">
      <c r="A2" s="13" t="s">
        <v>39</v>
      </c>
      <c r="B2" s="13" t="s">
        <v>46</v>
      </c>
      <c r="C2" s="13" t="s">
        <v>37</v>
      </c>
      <c r="D2" s="13"/>
      <c r="E2" s="13"/>
      <c r="F2" s="13"/>
    </row>
    <row r="3" spans="1:6" x14ac:dyDescent="0.2">
      <c r="A3" s="14" t="s">
        <v>42</v>
      </c>
      <c r="B3" s="14" t="s">
        <v>45</v>
      </c>
      <c r="C3" s="14" t="s">
        <v>55</v>
      </c>
      <c r="D3" s="14"/>
      <c r="E3" s="14"/>
      <c r="F3" s="14"/>
    </row>
    <row r="4" spans="1:6" x14ac:dyDescent="0.2">
      <c r="A4" s="14" t="s">
        <v>48</v>
      </c>
      <c r="B4" s="14" t="s">
        <v>41</v>
      </c>
      <c r="C4" s="14" t="s">
        <v>57</v>
      </c>
      <c r="D4" s="14"/>
      <c r="E4" s="14"/>
      <c r="F4" s="14"/>
    </row>
    <row r="5" spans="1:6" x14ac:dyDescent="0.2">
      <c r="A5" s="14" t="s">
        <v>60</v>
      </c>
      <c r="B5" s="14" t="s">
        <v>49</v>
      </c>
      <c r="C5" s="14" t="s">
        <v>43</v>
      </c>
      <c r="D5" s="14"/>
      <c r="E5" s="14"/>
      <c r="F5" s="14"/>
    </row>
    <row r="6" spans="1:6" x14ac:dyDescent="0.2">
      <c r="A6" s="15"/>
      <c r="B6" s="14" t="s">
        <v>76</v>
      </c>
      <c r="C6" s="14" t="s">
        <v>61</v>
      </c>
      <c r="D6" s="14"/>
      <c r="E6" s="14"/>
      <c r="F6" s="14"/>
    </row>
    <row r="7" spans="1:6" x14ac:dyDescent="0.2">
      <c r="A7" s="15"/>
      <c r="B7" s="14" t="s">
        <v>44</v>
      </c>
      <c r="C7" s="14" t="s">
        <v>58</v>
      </c>
      <c r="D7" s="14"/>
      <c r="E7" s="14"/>
      <c r="F7" s="14"/>
    </row>
    <row r="8" spans="1:6" x14ac:dyDescent="0.2">
      <c r="A8" s="15"/>
      <c r="B8" s="14" t="s">
        <v>38</v>
      </c>
      <c r="C8" s="14" t="s">
        <v>53</v>
      </c>
      <c r="D8" s="14"/>
      <c r="E8" s="14"/>
      <c r="F8" s="14"/>
    </row>
    <row r="9" spans="1:6" x14ac:dyDescent="0.2">
      <c r="A9" s="15"/>
      <c r="B9" s="14" t="s">
        <v>54</v>
      </c>
      <c r="C9" s="14" t="s">
        <v>59</v>
      </c>
      <c r="D9" s="14"/>
      <c r="E9" s="14"/>
      <c r="F9" s="14"/>
    </row>
    <row r="10" spans="1:6" x14ac:dyDescent="0.2">
      <c r="A10" s="15"/>
      <c r="B10" s="14" t="s">
        <v>47</v>
      </c>
      <c r="C10" s="14" t="s">
        <v>40</v>
      </c>
      <c r="D10" s="14"/>
      <c r="E10" s="14"/>
      <c r="F10" s="14"/>
    </row>
    <row r="11" spans="1:6" x14ac:dyDescent="0.2">
      <c r="A11" s="15"/>
      <c r="B11" s="15" t="s">
        <v>51</v>
      </c>
      <c r="C11" s="14" t="s">
        <v>65</v>
      </c>
      <c r="D11" s="14"/>
      <c r="E11" s="14"/>
      <c r="F11" s="14"/>
    </row>
    <row r="12" spans="1:6" x14ac:dyDescent="0.2">
      <c r="A12" s="15"/>
      <c r="B12" s="15"/>
      <c r="C12" s="14" t="s">
        <v>56</v>
      </c>
      <c r="D12" s="14"/>
      <c r="E12" s="14"/>
      <c r="F12" s="14"/>
    </row>
    <row r="13" spans="1:6" x14ac:dyDescent="0.2">
      <c r="A13" s="15"/>
      <c r="B13" s="15"/>
      <c r="C13" s="14" t="s">
        <v>50</v>
      </c>
      <c r="D13" s="14"/>
      <c r="E13" s="14"/>
      <c r="F13" s="14"/>
    </row>
    <row r="14" spans="1:6" x14ac:dyDescent="0.2">
      <c r="A14" s="15"/>
      <c r="B14" s="15"/>
      <c r="C14" s="14" t="s">
        <v>62</v>
      </c>
      <c r="D14" s="14"/>
      <c r="E14" s="14"/>
      <c r="F14" s="14"/>
    </row>
    <row r="15" spans="1:6" x14ac:dyDescent="0.2">
      <c r="A15" s="15"/>
      <c r="B15" s="15"/>
      <c r="C15" s="14" t="s">
        <v>52</v>
      </c>
      <c r="D15" s="14"/>
      <c r="E15" s="14"/>
      <c r="F15" s="14"/>
    </row>
    <row r="16" spans="1:6" x14ac:dyDescent="0.2">
      <c r="A16" s="15"/>
      <c r="B16" s="15"/>
      <c r="C16" s="14" t="s">
        <v>63</v>
      </c>
      <c r="D16" s="14"/>
      <c r="E16" s="14"/>
      <c r="F16" s="14"/>
    </row>
    <row r="17" spans="1:6" x14ac:dyDescent="0.2">
      <c r="A17" s="15"/>
      <c r="B17" s="15"/>
      <c r="C17" s="14" t="s">
        <v>64</v>
      </c>
      <c r="D17" s="15"/>
      <c r="E17" s="15"/>
      <c r="F17" s="15"/>
    </row>
    <row r="18" spans="1:6" x14ac:dyDescent="0.2">
      <c r="A18" s="15"/>
      <c r="B18" s="15"/>
      <c r="C18" s="14" t="s">
        <v>77</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topLeftCell="A3" workbookViewId="0">
      <selection activeCell="C28" sqref="C28"/>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68</v>
      </c>
      <c r="B1" s="23" t="s">
        <v>70</v>
      </c>
      <c r="C1" s="23" t="s">
        <v>78</v>
      </c>
      <c r="D1" s="24" t="s">
        <v>79</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47"/>
    <col min="2" max="2" width="16.140625" style="47" customWidth="1"/>
    <col min="3" max="10" width="9.140625" style="47"/>
    <col min="11" max="11" width="16.140625" style="47" bestFit="1" customWidth="1"/>
    <col min="12" max="12" width="14.5703125" style="47" bestFit="1" customWidth="1"/>
    <col min="13" max="16384" width="9.140625" style="47"/>
  </cols>
  <sheetData>
    <row r="1" spans="1:51" x14ac:dyDescent="0.2">
      <c r="A1" s="55" t="s">
        <v>168</v>
      </c>
      <c r="B1" s="55" t="s">
        <v>169</v>
      </c>
      <c r="C1" s="55" t="s">
        <v>170</v>
      </c>
      <c r="D1" s="55"/>
      <c r="E1" s="55"/>
      <c r="F1" s="55" t="s">
        <v>171</v>
      </c>
      <c r="G1" s="55" t="s">
        <v>172</v>
      </c>
      <c r="K1" s="57" t="s">
        <v>175</v>
      </c>
      <c r="L1" s="57" t="s">
        <v>177</v>
      </c>
    </row>
    <row r="2" spans="1:51" x14ac:dyDescent="0.2">
      <c r="A2" s="55"/>
      <c r="B2" s="55"/>
      <c r="C2" s="46">
        <v>1</v>
      </c>
      <c r="D2" s="46">
        <v>2</v>
      </c>
      <c r="E2" s="46">
        <v>3</v>
      </c>
      <c r="F2" s="55"/>
      <c r="G2" s="55"/>
      <c r="I2" s="47" t="s">
        <v>171</v>
      </c>
      <c r="J2" s="47" t="s">
        <v>172</v>
      </c>
      <c r="K2" s="57"/>
      <c r="L2" s="57"/>
    </row>
    <row r="3" spans="1:51" x14ac:dyDescent="0.2">
      <c r="A3" s="55">
        <v>1</v>
      </c>
      <c r="B3" s="46">
        <v>1</v>
      </c>
      <c r="C3" s="48">
        <v>1</v>
      </c>
      <c r="D3" s="48">
        <v>1</v>
      </c>
      <c r="E3" s="48">
        <v>1</v>
      </c>
      <c r="F3" s="49">
        <f>MAX(C3:E3)-MIN(C3:E3)</f>
        <v>0</v>
      </c>
      <c r="G3" s="46">
        <f>(C3+D3+E3)/3</f>
        <v>1</v>
      </c>
      <c r="H3" s="56" t="s">
        <v>201</v>
      </c>
      <c r="I3" s="55">
        <f>(F3+F4+F5+F6+F7)/5</f>
        <v>0.22000000000000003</v>
      </c>
      <c r="J3" s="55">
        <f>(G3+G4+G5+G6+G7)/5</f>
        <v>1.0799999999999998</v>
      </c>
      <c r="K3" s="46">
        <f>(I3+I8+I13)/3</f>
        <v>0.16000000000000003</v>
      </c>
      <c r="L3" s="46">
        <f>MAX(J3:J17)-MIN(J3:J17)</f>
        <v>0.14666666666666661</v>
      </c>
      <c r="AQ3" s="47" t="s">
        <v>158</v>
      </c>
      <c r="AR3" s="47" t="s">
        <v>158</v>
      </c>
      <c r="AS3" s="47" t="s">
        <v>158</v>
      </c>
      <c r="AT3" s="47" t="s">
        <v>158</v>
      </c>
      <c r="AV3" s="47" t="s">
        <v>158</v>
      </c>
      <c r="AW3" s="47" t="s">
        <v>158</v>
      </c>
      <c r="AX3" s="47" t="s">
        <v>158</v>
      </c>
      <c r="AY3" s="47" t="s">
        <v>158</v>
      </c>
    </row>
    <row r="4" spans="1:51" x14ac:dyDescent="0.2">
      <c r="A4" s="55"/>
      <c r="B4" s="46">
        <v>2</v>
      </c>
      <c r="C4" s="48">
        <v>1.1000000000000001</v>
      </c>
      <c r="D4" s="48">
        <v>1.1000000000000001</v>
      </c>
      <c r="E4" s="48">
        <v>1</v>
      </c>
      <c r="F4" s="49">
        <f t="shared" ref="F4:F17" si="0">MAX(C4:E4)-MIN(C4:E4)</f>
        <v>0.10000000000000009</v>
      </c>
      <c r="G4" s="46">
        <f t="shared" ref="G4:G17" si="1">(C4+D4+E4)/3</f>
        <v>1.0666666666666667</v>
      </c>
      <c r="H4" s="56"/>
      <c r="I4" s="55"/>
      <c r="J4" s="55"/>
      <c r="K4" s="46"/>
      <c r="L4" s="46"/>
    </row>
    <row r="5" spans="1:51" x14ac:dyDescent="0.2">
      <c r="A5" s="55"/>
      <c r="B5" s="46">
        <v>3</v>
      </c>
      <c r="C5" s="48">
        <v>1</v>
      </c>
      <c r="D5" s="48">
        <v>1</v>
      </c>
      <c r="E5" s="48">
        <v>1</v>
      </c>
      <c r="F5" s="49">
        <f t="shared" si="0"/>
        <v>0</v>
      </c>
      <c r="G5" s="46">
        <f t="shared" si="1"/>
        <v>1</v>
      </c>
      <c r="H5" s="56"/>
      <c r="I5" s="55"/>
      <c r="J5" s="55"/>
      <c r="K5" s="46"/>
      <c r="L5" s="46"/>
    </row>
    <row r="6" spans="1:51" x14ac:dyDescent="0.2">
      <c r="A6" s="55"/>
      <c r="B6" s="46">
        <v>4</v>
      </c>
      <c r="C6" s="48">
        <v>1</v>
      </c>
      <c r="D6" s="48">
        <v>1</v>
      </c>
      <c r="E6" s="48">
        <v>1</v>
      </c>
      <c r="F6" s="49">
        <f t="shared" si="0"/>
        <v>0</v>
      </c>
      <c r="G6" s="46">
        <f t="shared" si="1"/>
        <v>1</v>
      </c>
      <c r="H6" s="56"/>
      <c r="I6" s="55"/>
      <c r="J6" s="55"/>
      <c r="K6" s="46"/>
      <c r="L6" s="46"/>
    </row>
    <row r="7" spans="1:51" x14ac:dyDescent="0.2">
      <c r="A7" s="55"/>
      <c r="B7" s="46">
        <v>5</v>
      </c>
      <c r="C7" s="48">
        <v>2</v>
      </c>
      <c r="D7" s="48">
        <v>1</v>
      </c>
      <c r="E7" s="48">
        <v>1</v>
      </c>
      <c r="F7" s="49">
        <f t="shared" si="0"/>
        <v>1</v>
      </c>
      <c r="G7" s="46">
        <f t="shared" si="1"/>
        <v>1.3333333333333333</v>
      </c>
      <c r="H7" s="56"/>
      <c r="I7" s="55"/>
      <c r="J7" s="55"/>
      <c r="K7" s="46"/>
      <c r="L7" s="46"/>
    </row>
    <row r="8" spans="1:51" x14ac:dyDescent="0.2">
      <c r="A8" s="55">
        <v>2</v>
      </c>
      <c r="B8" s="46">
        <v>1</v>
      </c>
      <c r="C8" s="48">
        <v>1</v>
      </c>
      <c r="D8" s="48">
        <v>1.1000000000000001</v>
      </c>
      <c r="E8" s="48">
        <v>1</v>
      </c>
      <c r="F8" s="49">
        <f t="shared" si="0"/>
        <v>0.10000000000000009</v>
      </c>
      <c r="G8" s="46">
        <f t="shared" si="1"/>
        <v>1.0333333333333334</v>
      </c>
      <c r="H8" s="56" t="s">
        <v>173</v>
      </c>
      <c r="I8" s="55">
        <f>(F8+F9+F10+F11+F12)/5</f>
        <v>6.0000000000000053E-2</v>
      </c>
      <c r="J8" s="55">
        <f>(G8+G9+G10+G11+G12)/5</f>
        <v>1.02</v>
      </c>
      <c r="K8" s="46"/>
      <c r="L8" s="46"/>
    </row>
    <row r="9" spans="1:51" x14ac:dyDescent="0.2">
      <c r="A9" s="55"/>
      <c r="B9" s="46">
        <v>2</v>
      </c>
      <c r="C9" s="48">
        <v>1</v>
      </c>
      <c r="D9" s="48">
        <v>1</v>
      </c>
      <c r="E9" s="48">
        <v>1</v>
      </c>
      <c r="F9" s="49">
        <f t="shared" si="0"/>
        <v>0</v>
      </c>
      <c r="G9" s="46">
        <f t="shared" si="1"/>
        <v>1</v>
      </c>
      <c r="H9" s="56"/>
      <c r="I9" s="55"/>
      <c r="J9" s="55"/>
      <c r="K9" s="46"/>
      <c r="L9" s="46"/>
    </row>
    <row r="10" spans="1:51" x14ac:dyDescent="0.2">
      <c r="A10" s="55"/>
      <c r="B10" s="46">
        <v>3</v>
      </c>
      <c r="C10" s="48">
        <v>1</v>
      </c>
      <c r="D10" s="48">
        <v>1.1000000000000001</v>
      </c>
      <c r="E10" s="48">
        <v>1</v>
      </c>
      <c r="F10" s="49">
        <f t="shared" si="0"/>
        <v>0.10000000000000009</v>
      </c>
      <c r="G10" s="46">
        <f t="shared" si="1"/>
        <v>1.0333333333333334</v>
      </c>
      <c r="H10" s="56"/>
      <c r="I10" s="55"/>
      <c r="J10" s="55"/>
      <c r="K10" s="46"/>
      <c r="L10" s="46"/>
    </row>
    <row r="11" spans="1:51" x14ac:dyDescent="0.2">
      <c r="A11" s="55"/>
      <c r="B11" s="46">
        <v>4</v>
      </c>
      <c r="C11" s="48">
        <v>1</v>
      </c>
      <c r="D11" s="48">
        <v>1</v>
      </c>
      <c r="E11" s="48">
        <v>1</v>
      </c>
      <c r="F11" s="49">
        <f t="shared" si="0"/>
        <v>0</v>
      </c>
      <c r="G11" s="46">
        <f t="shared" si="1"/>
        <v>1</v>
      </c>
      <c r="H11" s="56"/>
      <c r="I11" s="55"/>
      <c r="J11" s="55"/>
      <c r="K11" s="46"/>
      <c r="L11" s="46"/>
    </row>
    <row r="12" spans="1:51" x14ac:dyDescent="0.2">
      <c r="A12" s="55"/>
      <c r="B12" s="46">
        <v>5</v>
      </c>
      <c r="C12" s="48">
        <v>1</v>
      </c>
      <c r="D12" s="48">
        <v>1</v>
      </c>
      <c r="E12" s="48">
        <v>1.1000000000000001</v>
      </c>
      <c r="F12" s="49">
        <f t="shared" si="0"/>
        <v>0.10000000000000009</v>
      </c>
      <c r="G12" s="46">
        <f t="shared" si="1"/>
        <v>1.0333333333333334</v>
      </c>
      <c r="H12" s="56"/>
      <c r="I12" s="55"/>
      <c r="J12" s="55"/>
      <c r="K12" s="46"/>
      <c r="L12" s="46"/>
    </row>
    <row r="13" spans="1:51" x14ac:dyDescent="0.2">
      <c r="A13" s="55">
        <v>3</v>
      </c>
      <c r="B13" s="46">
        <v>1</v>
      </c>
      <c r="C13" s="48">
        <v>0</v>
      </c>
      <c r="D13" s="48">
        <v>1</v>
      </c>
      <c r="E13" s="48">
        <v>1</v>
      </c>
      <c r="F13" s="49">
        <f t="shared" si="0"/>
        <v>1</v>
      </c>
      <c r="G13" s="46">
        <f t="shared" si="1"/>
        <v>0.66666666666666663</v>
      </c>
      <c r="H13" s="56" t="s">
        <v>174</v>
      </c>
      <c r="I13" s="55">
        <f>(F13+F14+F15+F16+F17)/5</f>
        <v>0.2</v>
      </c>
      <c r="J13" s="55">
        <f>(G13+G14+G15+G16+G17)/5</f>
        <v>0.93333333333333324</v>
      </c>
      <c r="K13" s="46"/>
      <c r="L13" s="46"/>
    </row>
    <row r="14" spans="1:51" x14ac:dyDescent="0.2">
      <c r="A14" s="55"/>
      <c r="B14" s="46">
        <v>2</v>
      </c>
      <c r="C14" s="48">
        <v>1</v>
      </c>
      <c r="D14" s="48">
        <v>1</v>
      </c>
      <c r="E14" s="48">
        <v>1</v>
      </c>
      <c r="F14" s="49">
        <f t="shared" si="0"/>
        <v>0</v>
      </c>
      <c r="G14" s="46">
        <f t="shared" si="1"/>
        <v>1</v>
      </c>
      <c r="H14" s="56"/>
      <c r="I14" s="55"/>
      <c r="J14" s="55"/>
      <c r="K14" s="46"/>
      <c r="L14" s="46"/>
    </row>
    <row r="15" spans="1:51" x14ac:dyDescent="0.2">
      <c r="A15" s="55"/>
      <c r="B15" s="46">
        <v>3</v>
      </c>
      <c r="C15" s="48">
        <v>1</v>
      </c>
      <c r="D15" s="48">
        <v>1</v>
      </c>
      <c r="E15" s="48">
        <v>1</v>
      </c>
      <c r="F15" s="49">
        <f t="shared" si="0"/>
        <v>0</v>
      </c>
      <c r="G15" s="46">
        <f t="shared" si="1"/>
        <v>1</v>
      </c>
      <c r="H15" s="56"/>
      <c r="I15" s="55"/>
      <c r="J15" s="55"/>
      <c r="K15" s="46"/>
      <c r="L15" s="46"/>
    </row>
    <row r="16" spans="1:51" x14ac:dyDescent="0.2">
      <c r="A16" s="55"/>
      <c r="B16" s="46">
        <v>4</v>
      </c>
      <c r="C16" s="48">
        <v>1</v>
      </c>
      <c r="D16" s="48">
        <v>1</v>
      </c>
      <c r="E16" s="48">
        <v>1</v>
      </c>
      <c r="F16" s="49">
        <f t="shared" si="0"/>
        <v>0</v>
      </c>
      <c r="G16" s="46">
        <f t="shared" si="1"/>
        <v>1</v>
      </c>
      <c r="H16" s="56"/>
      <c r="I16" s="55"/>
      <c r="J16" s="55"/>
      <c r="K16" s="46"/>
      <c r="L16" s="46"/>
    </row>
    <row r="17" spans="1:12" x14ac:dyDescent="0.2">
      <c r="A17" s="55"/>
      <c r="B17" s="46">
        <v>5</v>
      </c>
      <c r="C17" s="48">
        <v>1</v>
      </c>
      <c r="D17" s="48">
        <v>1</v>
      </c>
      <c r="E17" s="48">
        <v>1</v>
      </c>
      <c r="F17" s="49">
        <f t="shared" si="0"/>
        <v>0</v>
      </c>
      <c r="G17" s="46">
        <f t="shared" si="1"/>
        <v>1</v>
      </c>
      <c r="H17" s="56"/>
      <c r="I17" s="55"/>
      <c r="J17" s="55"/>
      <c r="K17" s="46"/>
      <c r="L17" s="46"/>
    </row>
    <row r="25" spans="1:12" x14ac:dyDescent="0.2">
      <c r="A25" s="50" t="s">
        <v>176</v>
      </c>
      <c r="B25" s="46">
        <f>K3</f>
        <v>0.16000000000000003</v>
      </c>
    </row>
    <row r="26" spans="1:12" x14ac:dyDescent="0.2">
      <c r="A26" s="50" t="s">
        <v>178</v>
      </c>
      <c r="B26" s="46">
        <v>1.708</v>
      </c>
    </row>
    <row r="27" spans="1:12" x14ac:dyDescent="0.2">
      <c r="A27" s="50" t="s">
        <v>184</v>
      </c>
      <c r="B27" s="47">
        <f>1/B26</f>
        <v>0.58548009367681497</v>
      </c>
    </row>
    <row r="28" spans="1:12" x14ac:dyDescent="0.2">
      <c r="A28" s="50" t="s">
        <v>179</v>
      </c>
      <c r="B28" s="46">
        <f>B25*B27</f>
        <v>9.3676814988290419E-2</v>
      </c>
    </row>
    <row r="29" spans="1:12" x14ac:dyDescent="0.2">
      <c r="A29" s="46"/>
      <c r="B29" s="46"/>
    </row>
    <row r="30" spans="1:12" x14ac:dyDescent="0.2">
      <c r="A30" s="50" t="s">
        <v>180</v>
      </c>
      <c r="B30" s="46">
        <f>L3</f>
        <v>0.14666666666666661</v>
      </c>
    </row>
    <row r="31" spans="1:12" x14ac:dyDescent="0.2">
      <c r="A31" s="50" t="s">
        <v>181</v>
      </c>
      <c r="B31" s="46">
        <v>5</v>
      </c>
    </row>
    <row r="32" spans="1:12" x14ac:dyDescent="0.2">
      <c r="A32" s="50" t="s">
        <v>182</v>
      </c>
      <c r="B32" s="46">
        <v>3</v>
      </c>
    </row>
    <row r="33" spans="1:4" x14ac:dyDescent="0.2">
      <c r="A33" s="50" t="s">
        <v>178</v>
      </c>
      <c r="B33" s="46">
        <v>2.3370000000000002</v>
      </c>
    </row>
    <row r="34" spans="1:4" x14ac:dyDescent="0.2">
      <c r="A34" s="50" t="s">
        <v>183</v>
      </c>
      <c r="B34" s="46">
        <f>1/B33</f>
        <v>0.42789901583226353</v>
      </c>
    </row>
    <row r="35" spans="1:4" x14ac:dyDescent="0.2">
      <c r="A35" s="46"/>
      <c r="B35" s="46"/>
    </row>
    <row r="36" spans="1:4" x14ac:dyDescent="0.2">
      <c r="A36" s="46"/>
      <c r="B36" s="46"/>
    </row>
    <row r="37" spans="1:4" x14ac:dyDescent="0.2">
      <c r="A37" s="50" t="s">
        <v>185</v>
      </c>
      <c r="B37" s="46">
        <f>SQRT((B30*B34)^2)-((B28)^2)/(B31*B32)</f>
        <v>6.217349927764193E-2</v>
      </c>
      <c r="C37" s="46"/>
      <c r="D37" s="46"/>
    </row>
    <row r="38" spans="1:4" x14ac:dyDescent="0.2">
      <c r="A38" s="50" t="s">
        <v>186</v>
      </c>
      <c r="B38" s="46">
        <f>SQRT((B28)^2)+(B37)^2</f>
        <v>9.7542359000717366E-2</v>
      </c>
      <c r="C38" s="46"/>
      <c r="D38" s="46"/>
    </row>
    <row r="39" spans="1:4" x14ac:dyDescent="0.2">
      <c r="A39" s="50" t="s">
        <v>193</v>
      </c>
      <c r="B39" s="51">
        <f>B38</f>
        <v>9.7542359000717366E-2</v>
      </c>
    </row>
    <row r="43" spans="1:4" x14ac:dyDescent="0.2">
      <c r="B43" s="47" t="s">
        <v>188</v>
      </c>
      <c r="C43" s="47" t="s">
        <v>190</v>
      </c>
    </row>
    <row r="44" spans="1:4" x14ac:dyDescent="0.2">
      <c r="B44" s="47" t="s">
        <v>187</v>
      </c>
      <c r="C44" s="47" t="s">
        <v>191</v>
      </c>
    </row>
    <row r="45" spans="1:4" x14ac:dyDescent="0.2">
      <c r="A45" s="50"/>
      <c r="B45" s="47" t="s">
        <v>189</v>
      </c>
      <c r="C45" s="47" t="s">
        <v>192</v>
      </c>
      <c r="D45" s="46"/>
    </row>
    <row r="46" spans="1:4" x14ac:dyDescent="0.2">
      <c r="A46" s="50"/>
      <c r="B46" s="46"/>
      <c r="C46" s="46"/>
      <c r="D46" s="46"/>
    </row>
    <row r="47" spans="1:4" x14ac:dyDescent="0.2">
      <c r="A47" s="50"/>
    </row>
    <row r="48" spans="1:4" x14ac:dyDescent="0.2">
      <c r="A48" s="50"/>
      <c r="C48" s="58"/>
    </row>
    <row r="49" spans="1:3" x14ac:dyDescent="0.2">
      <c r="A49" s="50"/>
      <c r="C49" s="58"/>
    </row>
    <row r="50" spans="1:3" x14ac:dyDescent="0.2">
      <c r="A50" s="50"/>
    </row>
    <row r="56" spans="1:3" x14ac:dyDescent="0.2">
      <c r="B56" s="51"/>
    </row>
  </sheetData>
  <mergeCells count="20">
    <mergeCell ref="A13:A17"/>
    <mergeCell ref="H13:H17"/>
    <mergeCell ref="I13:I17"/>
    <mergeCell ref="J13:J17"/>
    <mergeCell ref="C48:C49"/>
    <mergeCell ref="L1:L2"/>
    <mergeCell ref="A3:A7"/>
    <mergeCell ref="H3:H7"/>
    <mergeCell ref="I3:I7"/>
    <mergeCell ref="J3:J7"/>
    <mergeCell ref="K1:K2"/>
    <mergeCell ref="A8:A12"/>
    <mergeCell ref="H8:H12"/>
    <mergeCell ref="I8:I12"/>
    <mergeCell ref="J8:J12"/>
    <mergeCell ref="A1:A2"/>
    <mergeCell ref="B1:B2"/>
    <mergeCell ref="C1:E1"/>
    <mergeCell ref="F1:F2"/>
    <mergeCell ref="G1:G2"/>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B7" sqref="B7"/>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ht="37.5" customHeight="1" x14ac:dyDescent="0.2">
      <c r="E1" s="59" t="s">
        <v>105</v>
      </c>
      <c r="F1" s="60"/>
      <c r="G1" s="60"/>
      <c r="H1" s="60"/>
      <c r="I1" s="60"/>
      <c r="J1" s="59" t="s">
        <v>106</v>
      </c>
      <c r="K1" s="60"/>
      <c r="L1" s="60"/>
      <c r="M1" s="60"/>
      <c r="N1" s="60"/>
      <c r="O1" s="59" t="s">
        <v>107</v>
      </c>
      <c r="P1" s="60"/>
      <c r="Q1" s="60"/>
      <c r="R1" s="60"/>
      <c r="S1" s="60"/>
      <c r="U1" s="59" t="s">
        <v>105</v>
      </c>
      <c r="V1" s="60"/>
      <c r="W1" s="60"/>
      <c r="X1" s="60"/>
      <c r="Y1" s="60"/>
      <c r="Z1" s="59" t="s">
        <v>106</v>
      </c>
      <c r="AA1" s="60"/>
      <c r="AB1" s="60"/>
      <c r="AC1" s="60"/>
      <c r="AD1" s="60"/>
      <c r="AE1" s="59" t="s">
        <v>107</v>
      </c>
      <c r="AF1" s="60"/>
      <c r="AG1" s="60"/>
      <c r="AH1" s="60"/>
      <c r="AI1" s="60"/>
    </row>
    <row r="2" spans="1:52" ht="28.5" customHeight="1" x14ac:dyDescent="0.2">
      <c r="A2" s="40" t="s">
        <v>111</v>
      </c>
      <c r="B2" s="40" t="s">
        <v>2</v>
      </c>
      <c r="C2" s="40" t="s">
        <v>112</v>
      </c>
      <c r="D2" s="5" t="s">
        <v>104</v>
      </c>
      <c r="E2" s="3" t="s">
        <v>113</v>
      </c>
      <c r="F2" s="3" t="s">
        <v>114</v>
      </c>
      <c r="G2" s="3" t="s">
        <v>115</v>
      </c>
      <c r="H2" s="3" t="s">
        <v>116</v>
      </c>
      <c r="I2" s="3" t="s">
        <v>117</v>
      </c>
      <c r="J2" s="3" t="s">
        <v>118</v>
      </c>
      <c r="K2" s="3" t="s">
        <v>119</v>
      </c>
      <c r="L2" s="3" t="s">
        <v>120</v>
      </c>
      <c r="M2" s="3" t="s">
        <v>121</v>
      </c>
      <c r="N2" s="3" t="s">
        <v>122</v>
      </c>
      <c r="O2" s="3" t="s">
        <v>123</v>
      </c>
      <c r="P2" s="3" t="s">
        <v>124</v>
      </c>
      <c r="Q2" s="3" t="s">
        <v>125</v>
      </c>
      <c r="R2" s="3" t="s">
        <v>126</v>
      </c>
      <c r="S2" s="3" t="s">
        <v>127</v>
      </c>
      <c r="T2" s="5" t="s">
        <v>108</v>
      </c>
      <c r="U2" s="5" t="s">
        <v>128</v>
      </c>
      <c r="V2" s="3" t="s">
        <v>129</v>
      </c>
      <c r="W2" s="3" t="s">
        <v>130</v>
      </c>
      <c r="X2" s="3" t="s">
        <v>131</v>
      </c>
      <c r="Y2" s="3" t="s">
        <v>132</v>
      </c>
      <c r="Z2" s="3" t="s">
        <v>133</v>
      </c>
      <c r="AA2" s="3" t="s">
        <v>134</v>
      </c>
      <c r="AB2" s="3" t="s">
        <v>135</v>
      </c>
      <c r="AC2" s="3" t="s">
        <v>136</v>
      </c>
      <c r="AD2" s="3" t="s">
        <v>137</v>
      </c>
      <c r="AE2" s="3" t="s">
        <v>138</v>
      </c>
      <c r="AF2" s="3" t="s">
        <v>142</v>
      </c>
      <c r="AG2" s="3" t="s">
        <v>141</v>
      </c>
      <c r="AH2" s="3" t="s">
        <v>140</v>
      </c>
      <c r="AI2" s="3" t="s">
        <v>139</v>
      </c>
      <c r="AJ2" s="5" t="s">
        <v>109</v>
      </c>
      <c r="AK2" s="3" t="s">
        <v>143</v>
      </c>
      <c r="AL2" s="5" t="s">
        <v>144</v>
      </c>
      <c r="AM2" s="3" t="s">
        <v>145</v>
      </c>
      <c r="AN2" s="3" t="s">
        <v>146</v>
      </c>
      <c r="AO2" s="3" t="s">
        <v>147</v>
      </c>
      <c r="AP2" s="3" t="s">
        <v>148</v>
      </c>
      <c r="AQ2" s="3" t="s">
        <v>149</v>
      </c>
      <c r="AR2" s="3" t="s">
        <v>150</v>
      </c>
      <c r="AS2" s="3" t="s">
        <v>151</v>
      </c>
      <c r="AT2" s="3" t="s">
        <v>152</v>
      </c>
      <c r="AU2" s="3" t="s">
        <v>153</v>
      </c>
      <c r="AV2" s="3" t="s">
        <v>154</v>
      </c>
      <c r="AW2" s="3" t="s">
        <v>155</v>
      </c>
      <c r="AX2" s="3" t="s">
        <v>156</v>
      </c>
      <c r="AY2" s="3" t="s">
        <v>157</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1" t="s">
        <v>92</v>
      </c>
      <c r="B1" s="62"/>
      <c r="C1" s="63"/>
      <c r="D1" s="63"/>
      <c r="E1" s="64"/>
    </row>
    <row r="2" spans="1:5" x14ac:dyDescent="0.2">
      <c r="A2" s="65" t="s">
        <v>93</v>
      </c>
      <c r="B2" s="66"/>
      <c r="C2" s="19"/>
      <c r="D2" s="18" t="s">
        <v>94</v>
      </c>
      <c r="E2" s="20"/>
    </row>
    <row r="3" spans="1:5" x14ac:dyDescent="0.2">
      <c r="A3" s="65" t="s">
        <v>95</v>
      </c>
      <c r="B3" s="66"/>
      <c r="C3" s="70"/>
      <c r="D3" s="70"/>
      <c r="E3" s="71"/>
    </row>
    <row r="4" spans="1:5" ht="13.5" thickBot="1" x14ac:dyDescent="0.25">
      <c r="A4" s="67">
        <f>Admin!B5</f>
        <v>0</v>
      </c>
      <c r="B4" s="68"/>
      <c r="C4" s="68"/>
      <c r="D4" s="68"/>
      <c r="E4" s="69"/>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72" t="s">
        <v>167</v>
      </c>
      <c r="B1" s="72"/>
      <c r="C1" s="72"/>
      <c r="D1" s="72"/>
      <c r="E1" s="72"/>
      <c r="F1" s="72"/>
      <c r="G1" s="72"/>
      <c r="H1" s="72"/>
      <c r="I1" s="72"/>
      <c r="J1" s="72"/>
      <c r="K1" s="72"/>
      <c r="L1" s="72"/>
    </row>
    <row r="2" spans="1:12" ht="12.75" customHeight="1" x14ac:dyDescent="0.2">
      <c r="A2" s="72"/>
      <c r="B2" s="72"/>
      <c r="C2" s="72"/>
      <c r="D2" s="72"/>
      <c r="E2" s="72"/>
      <c r="F2" s="72"/>
      <c r="G2" s="72"/>
      <c r="H2" s="72"/>
      <c r="I2" s="72"/>
      <c r="J2" s="72"/>
      <c r="K2" s="72"/>
      <c r="L2" s="72"/>
    </row>
    <row r="3" spans="1:12" ht="12.75" customHeight="1" x14ac:dyDescent="0.2">
      <c r="A3" s="72"/>
      <c r="B3" s="72"/>
      <c r="C3" s="72"/>
      <c r="D3" s="72"/>
      <c r="E3" s="72"/>
      <c r="F3" s="72"/>
      <c r="G3" s="72"/>
      <c r="H3" s="72"/>
      <c r="I3" s="72"/>
      <c r="J3" s="72"/>
      <c r="K3" s="72"/>
      <c r="L3" s="72"/>
    </row>
    <row r="4" spans="1:12" ht="12.75" customHeight="1" x14ac:dyDescent="0.2">
      <c r="A4" s="72"/>
      <c r="B4" s="72"/>
      <c r="C4" s="72"/>
      <c r="D4" s="72"/>
      <c r="E4" s="72"/>
      <c r="F4" s="72"/>
      <c r="G4" s="72"/>
      <c r="H4" s="72"/>
      <c r="I4" s="72"/>
      <c r="J4" s="72"/>
      <c r="K4" s="72"/>
      <c r="L4" s="72"/>
    </row>
    <row r="5" spans="1:12" ht="12.75" customHeight="1" x14ac:dyDescent="0.2">
      <c r="A5" s="72"/>
      <c r="B5" s="72"/>
      <c r="C5" s="72"/>
      <c r="D5" s="72"/>
      <c r="E5" s="72"/>
      <c r="F5" s="72"/>
      <c r="G5" s="72"/>
      <c r="H5" s="72"/>
      <c r="I5" s="72"/>
      <c r="J5" s="72"/>
      <c r="K5" s="72"/>
      <c r="L5" s="72"/>
    </row>
    <row r="6" spans="1:12" ht="12.75" customHeight="1" x14ac:dyDescent="0.2">
      <c r="A6" s="72"/>
      <c r="B6" s="72"/>
      <c r="C6" s="72"/>
      <c r="D6" s="72"/>
      <c r="E6" s="72"/>
      <c r="F6" s="72"/>
      <c r="G6" s="72"/>
      <c r="H6" s="72"/>
      <c r="I6" s="72"/>
      <c r="J6" s="72"/>
      <c r="K6" s="72"/>
      <c r="L6" s="72"/>
    </row>
    <row r="7" spans="1:12" ht="12.75" customHeight="1" x14ac:dyDescent="0.2">
      <c r="A7" s="72"/>
      <c r="B7" s="72"/>
      <c r="C7" s="72"/>
      <c r="D7" s="72"/>
      <c r="E7" s="72"/>
      <c r="F7" s="72"/>
      <c r="G7" s="72"/>
      <c r="H7" s="72"/>
      <c r="I7" s="72"/>
      <c r="J7" s="72"/>
      <c r="K7" s="72"/>
      <c r="L7" s="72"/>
    </row>
    <row r="8" spans="1:12" ht="12.75" customHeight="1" x14ac:dyDescent="0.2">
      <c r="A8" s="72"/>
      <c r="B8" s="72"/>
      <c r="C8" s="72"/>
      <c r="D8" s="72"/>
      <c r="E8" s="72"/>
      <c r="F8" s="72"/>
      <c r="G8" s="72"/>
      <c r="H8" s="72"/>
      <c r="I8" s="72"/>
      <c r="J8" s="72"/>
      <c r="K8" s="72"/>
      <c r="L8" s="72"/>
    </row>
    <row r="9" spans="1:12" ht="12.75" customHeight="1" x14ac:dyDescent="0.2">
      <c r="A9" s="72"/>
      <c r="B9" s="72"/>
      <c r="C9" s="72"/>
      <c r="D9" s="72"/>
      <c r="E9" s="72"/>
      <c r="F9" s="72"/>
      <c r="G9" s="72"/>
      <c r="H9" s="72"/>
      <c r="I9" s="72"/>
      <c r="J9" s="72"/>
      <c r="K9" s="72"/>
      <c r="L9" s="72"/>
    </row>
    <row r="10" spans="1:12" ht="12.75" customHeight="1" x14ac:dyDescent="0.2">
      <c r="A10" s="72"/>
      <c r="B10" s="72"/>
      <c r="C10" s="72"/>
      <c r="D10" s="72"/>
      <c r="E10" s="72"/>
      <c r="F10" s="72"/>
      <c r="G10" s="72"/>
      <c r="H10" s="72"/>
      <c r="I10" s="72"/>
      <c r="J10" s="72"/>
      <c r="K10" s="72"/>
      <c r="L10" s="72"/>
    </row>
    <row r="11" spans="1:12" ht="12.75" customHeight="1" x14ac:dyDescent="0.2">
      <c r="A11" s="72"/>
      <c r="B11" s="72"/>
      <c r="C11" s="72"/>
      <c r="D11" s="72"/>
      <c r="E11" s="72"/>
      <c r="F11" s="72"/>
      <c r="G11" s="72"/>
      <c r="H11" s="72"/>
      <c r="I11" s="72"/>
      <c r="J11" s="72"/>
      <c r="K11" s="72"/>
      <c r="L11" s="72"/>
    </row>
    <row r="12" spans="1:12" ht="12.75" customHeight="1" x14ac:dyDescent="0.2">
      <c r="A12" s="72"/>
      <c r="B12" s="72"/>
      <c r="C12" s="72"/>
      <c r="D12" s="72"/>
      <c r="E12" s="72"/>
      <c r="F12" s="72"/>
      <c r="G12" s="72"/>
      <c r="H12" s="72"/>
      <c r="I12" s="72"/>
      <c r="J12" s="72"/>
      <c r="K12" s="72"/>
      <c r="L12" s="72"/>
    </row>
    <row r="13" spans="1:12" ht="12.75" customHeight="1" x14ac:dyDescent="0.2">
      <c r="A13" s="72"/>
      <c r="B13" s="72"/>
      <c r="C13" s="72"/>
      <c r="D13" s="72"/>
      <c r="E13" s="72"/>
      <c r="F13" s="72"/>
      <c r="G13" s="72"/>
      <c r="H13" s="72"/>
      <c r="I13" s="72"/>
      <c r="J13" s="72"/>
      <c r="K13" s="72"/>
      <c r="L13" s="72"/>
    </row>
    <row r="14" spans="1:12" x14ac:dyDescent="0.2">
      <c r="A14" s="72"/>
      <c r="B14" s="72"/>
      <c r="C14" s="72"/>
      <c r="D14" s="72"/>
      <c r="E14" s="72"/>
      <c r="F14" s="72"/>
      <c r="G14" s="72"/>
      <c r="H14" s="72"/>
      <c r="I14" s="72"/>
      <c r="J14" s="72"/>
      <c r="K14" s="72"/>
      <c r="L14" s="72"/>
    </row>
    <row r="15" spans="1:12" x14ac:dyDescent="0.2">
      <c r="A15" s="72"/>
      <c r="B15" s="72"/>
      <c r="C15" s="72"/>
      <c r="D15" s="72"/>
      <c r="E15" s="72"/>
      <c r="F15" s="72"/>
      <c r="G15" s="72"/>
      <c r="H15" s="72"/>
      <c r="I15" s="72"/>
      <c r="J15" s="72"/>
      <c r="K15" s="72"/>
      <c r="L15" s="72"/>
    </row>
    <row r="16" spans="1:12" x14ac:dyDescent="0.2">
      <c r="A16" s="72"/>
      <c r="B16" s="72"/>
      <c r="C16" s="72"/>
      <c r="D16" s="72"/>
      <c r="E16" s="72"/>
      <c r="F16" s="72"/>
      <c r="G16" s="72"/>
      <c r="H16" s="72"/>
      <c r="I16" s="72"/>
      <c r="J16" s="72"/>
      <c r="K16" s="72"/>
      <c r="L16" s="72"/>
    </row>
    <row r="17" spans="1:12" x14ac:dyDescent="0.2">
      <c r="A17" s="72"/>
      <c r="B17" s="72"/>
      <c r="C17" s="72"/>
      <c r="D17" s="72"/>
      <c r="E17" s="72"/>
      <c r="F17" s="72"/>
      <c r="G17" s="72"/>
      <c r="H17" s="72"/>
      <c r="I17" s="72"/>
      <c r="J17" s="72"/>
      <c r="K17" s="72"/>
      <c r="L17" s="72"/>
    </row>
    <row r="18" spans="1:12" x14ac:dyDescent="0.2">
      <c r="A18" s="72"/>
      <c r="B18" s="72"/>
      <c r="C18" s="72"/>
      <c r="D18" s="72"/>
      <c r="E18" s="72"/>
      <c r="F18" s="72"/>
      <c r="G18" s="72"/>
      <c r="H18" s="72"/>
      <c r="I18" s="72"/>
      <c r="J18" s="72"/>
      <c r="K18" s="72"/>
      <c r="L18" s="7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CreatedByAlexFare</vt:lpstr>
      <vt:lpstr>Admin</vt:lpstr>
      <vt:lpstr>Credentials</vt:lpstr>
      <vt:lpstr>Lists</vt:lpstr>
      <vt:lpstr>Customers</vt:lpstr>
      <vt:lpstr>Calculations</vt:lpstr>
      <vt:lpstr>GageRnR</vt:lpstr>
      <vt:lpstr>Labels</vt:lpstr>
      <vt:lpstr>Format</vt:lpstr>
      <vt:lpstr>CustomerNames</vt:lpstr>
      <vt:lpstr>Department_List</vt:lpstr>
      <vt:lpstr>Gage_IDs</vt:lpstr>
      <vt:lpstr>GageRnR_List</vt:lpstr>
      <vt:lpstr>GageRR_List</vt:lpstr>
      <vt:lpstr>GageType_List</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2023-09-22T11:10:42Z</dcterms:modified>
  <cp:category/>
  <cp:contentStatus/>
</cp:coreProperties>
</file>