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
    </mc:Choice>
  </mc:AlternateContent>
  <xr:revisionPtr revIDLastSave="0" documentId="13_ncr:1_{BA87A724-E7ED-4CA6-9775-8CE313AA4EE0}" xr6:coauthVersionLast="47" xr6:coauthVersionMax="47" xr10:uidLastSave="{00000000-0000-0000-0000-000000000000}"/>
  <bookViews>
    <workbookView showHorizontalScroll="0" showSheetTabs="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Lists!$B$2:$B$9</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 localSheetId="10">Codes!$B$2:$B$7</definedName>
    <definedName name="Password" localSheetId="6">Customers!$B$2:$B$2</definedName>
    <definedName name="Password">Credentials!$B$2:$B$2</definedName>
    <definedName name="_xlnm.Print_Area" localSheetId="1">CreatedByAlexFare!$A$2:$G$3</definedName>
    <definedName name="Status_List">Lists!$A$2:$A$5</definedName>
    <definedName name="UserCombinations" localSheetId="6">Customers!$A$2:$B$2</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<sst xmlns="http://schemas.openxmlformats.org/spreadsheetml/2006/main" count="226" uniqueCount="201">
  <si>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</si>
  <si>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</si>
  <si>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</si>
  <si>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</si>
  <si>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</si>
  <si>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</si>
  <si>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</si>
  <si>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</si>
  <si>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</si>
  <si>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</si>
  <si>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</si>
  <si>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</si>
  <si>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</si>
  <si>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</si>
  <si>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</si>
  <si>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</si>
  <si>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</si>
  <si>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</si>
  <si>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</si>
  <si>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</si>
  <si>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</si>
  <si>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</si>
  <si>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</si>
  <si>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</si>
  <si>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</si>
  <si>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</si>
  <si>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</si>
  <si>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</si>
  <si>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</si>
  <si>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</si>
  <si>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</si>
  <si>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</si>
  <si>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</si>
  <si>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</si>
  <si>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</si>
  <si>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</si>
  <si>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</si>
  <si>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</si>
  <si>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</si>
  <si>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</si>
  <si>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</si>
  <si>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</si>
  <si>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</si>
  <si>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</si>
  <si>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</si>
  <si>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</si>
  <si>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</si>
  <si>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</si>
  <si>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</si>
  <si>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</si>
  <si>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</si>
  <si>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</si>
  <si>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</si>
  <si>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</si>
  <si>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</si>
  <si>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</si>
  <si>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</si>
  <si>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</si>
  <si>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</si>
  <si>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</si>
  <si>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</si>
  <si>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</si>
  <si>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</si>
  <si>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</si>
  <si>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</si>
  <si>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</si>
  <si>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</si>
  <si>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</si>
  <si>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</si>
  <si>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</si>
  <si>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</si>
  <si>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</si>
  <si>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</si>
  <si>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</si>
  <si>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</si>
  <si>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</si>
  <si>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</si>
  <si>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</si>
  <si>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</si>
  <si>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</si>
  <si>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</si>
  <si>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</si>
  <si>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</si>
  <si>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</si>
  <si>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</si>
  <si>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</si>
  <si>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</si>
  <si>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</si>
  <si>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</si>
  <si>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</si>
  <si>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</si>
  <si>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</si>
  <si>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</si>
  <si>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</si>
  <si>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</si>
  <si>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</si>
  <si>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</si>
  <si>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</si>
  <si>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</si>
  <si>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</si>
  <si>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</si>
  <si>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</si>
  <si>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</si>
  <si>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</si>
  <si>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</si>
  <si>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</si>
  <si>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</si>
  <si>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</si>
  <si>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</si>
  <si>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</si>
  <si>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</si>
  <si>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</si>
  <si>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</si>
  <si>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</si>
  <si>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</si>
  <si>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</si>
  <si>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</si>
  <si>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</si>
  <si>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</si>
  <si>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</si>
  <si>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</si>
  <si>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</si>
  <si>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</si>
  <si>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</si>
  <si>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</si>
  <si>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</si>
  <si>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</si>
  <si>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</si>
  <si>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</si>
  <si>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</si>
  <si>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</si>
  <si>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</si>
  <si>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</si>
  <si>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</si>
  <si>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</si>
  <si>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</si>
  <si>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</si>
  <si>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</si>
  <si>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</si>
  <si>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</si>
  <si>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</si>
  <si>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</si>
  <si>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</si>
  <si>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</si>
  <si>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</si>
  <si>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</si>
  <si>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</si>
  <si>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</si>
  <si>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</si>
  <si>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</si>
  <si>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</si>
  <si>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</si>
  <si>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</si>
  <si>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</si>
  <si>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</si>
  <si>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</si>
  <si>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</si>
  <si>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</si>
  <si>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</si>
  <si>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</si>
  <si>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</si>
  <si>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</si>
  <si>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</si>
  <si>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</si>
  <si>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</si>
  <si>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</si>
  <si>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</si>
  <si>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</si>
  <si>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</si>
  <si>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</si>
  <si>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</si>
  <si>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</si>
  <si>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</si>
  <si>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</si>
  <si>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</si>
  <si>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</si>
  <si>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</si>
  <si>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</si>
  <si>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</si>
  <si>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</si>
  <si>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</si>
  <si>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</si>
  <si>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</si>
  <si>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</si>
  <si>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</si>
  <si>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</si>
  <si>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</si>
  <si>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</si>
  <si>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</si>
  <si>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</si>
  <si>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</si>
  <si>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</si>
  <si>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</si>
  <si>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</si>
  <si>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</si>
  <si>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</si>
  <si>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</si>
  <si>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</si>
  <si>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</si>
  <si>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</si>
  <si>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v3.14.1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</si>
</sst>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D30" sqref="D30"/>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304" sqref="B304"/>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43" customWidth="1"/>
    <col min="7" max="7" width="17.7109375" style="43"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45027</v>
      </c>
      <c r="J1" s="46">
        <f ca="1">TODAY()</f>
        <v>45027</v>
      </c>
      <c r="K1" s="35"/>
      <c r="L1" s="35"/>
      <c r="M1" s="35"/>
      <c r="N1" s="35"/>
      <c r="O1" s="35"/>
      <c r="P1" s="35"/>
      <c r="Q1" s="35"/>
      <c r="R1" s="35"/>
      <c r="S1" s="35"/>
      <c r="T1" s="35"/>
      <c r="U1" s="35"/>
      <c r="V1" s="35"/>
      <c r="W1" s="35"/>
      <c r="X1" s="35"/>
      <c r="Y1" s="35"/>
      <c r="Z1" s="35" t="s">
        <v>200</v>
      </c>
    </row>
    <row r="2" spans="1:42" s="2" customFormat="1" ht="40.5" x14ac:dyDescent="0.2">
      <c r="A2" s="27" t="s">
        <v>1</v>
      </c>
      <c r="B2" s="27" t="s">
        <v>2</v>
      </c>
      <c r="C2" s="27" t="s">
        <v>3</v>
      </c>
      <c r="D2" s="27" t="s">
        <v>4</v>
      </c>
      <c r="E2" s="27" t="s">
        <v>5</v>
      </c>
      <c r="F2" s="28" t="s">
        <v>6</v>
      </c>
      <c r="G2" s="29" t="s">
        <v>7</v>
      </c>
      <c r="H2" s="27" t="s">
        <v>8</v>
      </c>
      <c r="I2" s="27" t="s">
        <v>9</v>
      </c>
      <c r="J2" s="30" t="s">
        <v>10</v>
      </c>
      <c r="K2" s="31" t="s">
        <v>11</v>
      </c>
      <c r="L2" s="32" t="s">
        <v>12</v>
      </c>
      <c r="M2" s="31" t="s">
        <v>13</v>
      </c>
      <c r="N2" s="31" t="s">
        <v>14</v>
      </c>
      <c r="O2" s="31" t="s">
        <v>15</v>
      </c>
      <c r="P2" s="31" t="s">
        <v>16</v>
      </c>
      <c r="Q2" s="31" t="s">
        <v>17</v>
      </c>
      <c r="R2" s="31" t="s">
        <v>18</v>
      </c>
      <c r="S2" s="31" t="s">
        <v>19</v>
      </c>
      <c r="T2" s="31" t="s">
        <v>20</v>
      </c>
      <c r="U2" s="31" t="s">
        <v>21</v>
      </c>
      <c r="V2" s="31" t="s">
        <v>22</v>
      </c>
      <c r="W2" s="31" t="s">
        <v>23</v>
      </c>
      <c r="X2" s="31" t="s">
        <v>24</v>
      </c>
      <c r="Y2" s="31" t="s">
        <v>25</v>
      </c>
      <c r="Z2" s="33" t="s">
        <v>26</v>
      </c>
      <c r="AA2" s="31" t="s">
        <v>27</v>
      </c>
      <c r="AB2" s="31" t="s">
        <v>28</v>
      </c>
      <c r="AC2" s="31" t="s">
        <v>29</v>
      </c>
      <c r="AD2" s="31" t="s">
        <v>30</v>
      </c>
      <c r="AE2" s="31" t="s">
        <v>31</v>
      </c>
      <c r="AF2" s="31" t="s">
        <v>32</v>
      </c>
      <c r="AG2" s="31" t="s">
        <v>33</v>
      </c>
      <c r="AH2" s="31" t="s">
        <v>34</v>
      </c>
      <c r="AI2" s="31" t="s">
        <v>35</v>
      </c>
      <c r="AJ2" s="31" t="s">
        <v>36</v>
      </c>
      <c r="AK2" s="32" t="s">
        <v>37</v>
      </c>
      <c r="AL2" s="32" t="s">
        <v>38</v>
      </c>
      <c r="AM2" s="32" t="s">
        <v>39</v>
      </c>
      <c r="AN2" s="31" t="s">
        <v>40</v>
      </c>
      <c r="AO2" s="31" t="s">
        <v>115</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4"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topLeftCell="AH1" workbookViewId="0">
      <selection activeCell="AL34" sqref="AL34"/>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T3" s="42"/>
      <c r="U3" s="42"/>
      <c r="AJ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19" workbookViewId="0">
      <selection activeCell="I50" sqref="I50"/>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173</v>
      </c>
      <c r="B1" s="58" t="s">
        <v>174</v>
      </c>
      <c r="C1" s="58" t="s">
        <v>175</v>
      </c>
      <c r="D1" s="58"/>
      <c r="E1" s="58"/>
      <c r="F1" s="58" t="s">
        <v>176</v>
      </c>
      <c r="G1" s="58" t="s">
        <v>177</v>
      </c>
      <c r="K1" s="55" t="s">
        <v>181</v>
      </c>
      <c r="L1" s="55" t="s">
        <v>183</v>
      </c>
    </row>
    <row r="2" spans="1:51" x14ac:dyDescent="0.2">
      <c r="A2" s="58"/>
      <c r="B2" s="58"/>
      <c r="C2" s="41">
        <v>1</v>
      </c>
      <c r="D2" s="41">
        <v>2</v>
      </c>
      <c r="E2" s="41">
        <v>3</v>
      </c>
      <c r="F2" s="58"/>
      <c r="G2" s="58"/>
      <c r="I2" s="6" t="s">
        <v>176</v>
      </c>
      <c r="J2" s="6" t="s">
        <v>177</v>
      </c>
      <c r="K2" s="55"/>
      <c r="L2" s="55"/>
    </row>
    <row r="3" spans="1:51" x14ac:dyDescent="0.2">
      <c r="A3" s="57">
        <v>1</v>
      </c>
      <c r="B3" s="41">
        <v>1</v>
      </c>
      <c r="C3" s="49">
        <v>1.25</v>
      </c>
      <c r="D3" s="49">
        <v>1</v>
      </c>
      <c r="E3" s="49">
        <v>1</v>
      </c>
      <c r="F3" s="50">
        <f>MAX(C3:E3)-MIN(C3:E3)</f>
        <v>0.25</v>
      </c>
      <c r="G3" s="41">
        <f>(C3+D3+E3)/3</f>
        <v>1.0833333333333333</v>
      </c>
      <c r="H3" s="59" t="s">
        <v>178</v>
      </c>
      <c r="I3" s="57">
        <f>(F3+F4+F5+F6+F7)/5</f>
        <v>0.25</v>
      </c>
      <c r="J3" s="57">
        <f>(G3+G4+G5+G6+G7)/5</f>
        <v>1.1079999999999999</v>
      </c>
      <c r="K3" s="41">
        <f>(I3+I8+I13)/3</f>
        <v>0.18866666666666668</v>
      </c>
      <c r="L3" s="41">
        <f>MAX(J3:J17)-MIN(J3:J17)</f>
        <v>6.2000000000000055E-2</v>
      </c>
      <c r="AQ3" t="s">
        <v>163</v>
      </c>
      <c r="AR3" t="s">
        <v>163</v>
      </c>
      <c r="AS3" t="s">
        <v>163</v>
      </c>
      <c r="AT3" t="s">
        <v>163</v>
      </c>
      <c r="AV3" t="s">
        <v>163</v>
      </c>
      <c r="AW3" t="s">
        <v>163</v>
      </c>
      <c r="AX3" t="s">
        <v>163</v>
      </c>
      <c r="AY3" t="s">
        <v>163</v>
      </c>
    </row>
    <row r="4" spans="1:51" x14ac:dyDescent="0.2">
      <c r="A4" s="57"/>
      <c r="B4" s="41">
        <v>2</v>
      </c>
      <c r="C4" s="49">
        <v>1.5</v>
      </c>
      <c r="D4" s="49">
        <v>1.1499999999999999</v>
      </c>
      <c r="E4" s="49">
        <v>1</v>
      </c>
      <c r="F4" s="50">
        <f t="shared" ref="F4:F17" si="0">MAX(C4:E4)-MIN(C4:E4)</f>
        <v>0.5</v>
      </c>
      <c r="G4" s="41">
        <f t="shared" ref="G4:G17" si="1">(C4+D4+E4)/3</f>
        <v>1.2166666666666666</v>
      </c>
      <c r="H4" s="60"/>
      <c r="I4" s="57"/>
      <c r="J4" s="57"/>
      <c r="K4" s="41"/>
      <c r="L4" s="41"/>
    </row>
    <row r="5" spans="1:51" x14ac:dyDescent="0.2">
      <c r="A5" s="57"/>
      <c r="B5" s="41">
        <v>3</v>
      </c>
      <c r="C5" s="49">
        <v>1</v>
      </c>
      <c r="D5" s="49">
        <v>1.25</v>
      </c>
      <c r="E5" s="49">
        <v>1.05</v>
      </c>
      <c r="F5" s="50">
        <f t="shared" si="0"/>
        <v>0.25</v>
      </c>
      <c r="G5" s="41">
        <f t="shared" si="1"/>
        <v>1.0999999999999999</v>
      </c>
      <c r="H5" s="60"/>
      <c r="I5" s="57"/>
      <c r="J5" s="57"/>
      <c r="K5" s="41"/>
      <c r="L5" s="41"/>
    </row>
    <row r="6" spans="1:51" x14ac:dyDescent="0.2">
      <c r="A6" s="57"/>
      <c r="B6" s="41">
        <v>4</v>
      </c>
      <c r="C6" s="49">
        <v>1.2</v>
      </c>
      <c r="D6" s="49">
        <v>1.1200000000000001</v>
      </c>
      <c r="E6" s="49">
        <v>1</v>
      </c>
      <c r="F6" s="50">
        <f t="shared" si="0"/>
        <v>0.19999999999999996</v>
      </c>
      <c r="G6" s="41">
        <f t="shared" si="1"/>
        <v>1.1066666666666667</v>
      </c>
      <c r="H6" s="60"/>
      <c r="I6" s="57"/>
      <c r="J6" s="57"/>
      <c r="K6" s="41"/>
      <c r="L6" s="41"/>
    </row>
    <row r="7" spans="1:51" x14ac:dyDescent="0.2">
      <c r="A7" s="57"/>
      <c r="B7" s="41">
        <v>5</v>
      </c>
      <c r="C7" s="49">
        <v>1</v>
      </c>
      <c r="D7" s="49">
        <v>1.05</v>
      </c>
      <c r="E7" s="49">
        <v>1.05</v>
      </c>
      <c r="F7" s="50">
        <f t="shared" si="0"/>
        <v>5.0000000000000044E-2</v>
      </c>
      <c r="G7" s="41">
        <f t="shared" si="1"/>
        <v>1.0333333333333332</v>
      </c>
      <c r="H7" s="60"/>
      <c r="I7" s="57"/>
      <c r="J7" s="57"/>
      <c r="K7" s="41"/>
      <c r="L7" s="41"/>
    </row>
    <row r="8" spans="1:51" x14ac:dyDescent="0.2">
      <c r="A8" s="57">
        <v>2</v>
      </c>
      <c r="B8" s="41">
        <v>1</v>
      </c>
      <c r="C8" s="49">
        <v>1</v>
      </c>
      <c r="D8" s="49">
        <v>1</v>
      </c>
      <c r="E8" s="49">
        <v>1</v>
      </c>
      <c r="F8" s="50">
        <f t="shared" si="0"/>
        <v>0</v>
      </c>
      <c r="G8" s="41">
        <f t="shared" si="1"/>
        <v>1</v>
      </c>
      <c r="H8" s="59" t="s">
        <v>179</v>
      </c>
      <c r="I8" s="57">
        <f>(F8+F9+F10+F11+F12)/5</f>
        <v>0.18800000000000003</v>
      </c>
      <c r="J8" s="57">
        <f>(G8+G9+G10+G11+G12)/5</f>
        <v>1.0893333333333333</v>
      </c>
      <c r="K8" s="41"/>
      <c r="L8" s="41"/>
    </row>
    <row r="9" spans="1:51" x14ac:dyDescent="0.2">
      <c r="A9" s="57"/>
      <c r="B9" s="41">
        <v>2</v>
      </c>
      <c r="C9" s="49">
        <v>1.05</v>
      </c>
      <c r="D9" s="49">
        <v>1.1200000000000001</v>
      </c>
      <c r="E9" s="49">
        <v>1</v>
      </c>
      <c r="F9" s="50">
        <f t="shared" si="0"/>
        <v>0.12000000000000011</v>
      </c>
      <c r="G9" s="41">
        <f t="shared" si="1"/>
        <v>1.0566666666666666</v>
      </c>
      <c r="H9" s="60"/>
      <c r="I9" s="57"/>
      <c r="J9" s="57"/>
      <c r="K9" s="41"/>
      <c r="L9" s="41"/>
    </row>
    <row r="10" spans="1:51" x14ac:dyDescent="0.2">
      <c r="A10" s="57"/>
      <c r="B10" s="41">
        <v>3</v>
      </c>
      <c r="C10" s="49">
        <v>1.1000000000000001</v>
      </c>
      <c r="D10" s="49">
        <v>1.87</v>
      </c>
      <c r="E10" s="49">
        <v>1.1499999999999999</v>
      </c>
      <c r="F10" s="50">
        <f t="shared" si="0"/>
        <v>0.77</v>
      </c>
      <c r="G10" s="41">
        <f t="shared" si="1"/>
        <v>1.3733333333333333</v>
      </c>
      <c r="H10" s="60"/>
      <c r="I10" s="57"/>
      <c r="J10" s="57"/>
      <c r="K10" s="41"/>
      <c r="L10" s="41"/>
    </row>
    <row r="11" spans="1:51" x14ac:dyDescent="0.2">
      <c r="A11" s="57"/>
      <c r="B11" s="41">
        <v>4</v>
      </c>
      <c r="C11" s="49">
        <v>1.05</v>
      </c>
      <c r="D11" s="49">
        <v>1</v>
      </c>
      <c r="E11" s="49">
        <v>1</v>
      </c>
      <c r="F11" s="50">
        <f t="shared" si="0"/>
        <v>5.0000000000000044E-2</v>
      </c>
      <c r="G11" s="41">
        <f t="shared" si="1"/>
        <v>1.0166666666666666</v>
      </c>
      <c r="H11" s="60"/>
      <c r="I11" s="57"/>
      <c r="J11" s="57"/>
      <c r="K11" s="41"/>
      <c r="L11" s="41"/>
    </row>
    <row r="12" spans="1:51" x14ac:dyDescent="0.2">
      <c r="A12" s="57"/>
      <c r="B12" s="41">
        <v>5</v>
      </c>
      <c r="C12" s="49">
        <v>1</v>
      </c>
      <c r="D12" s="49">
        <v>1</v>
      </c>
      <c r="E12" s="49">
        <v>1</v>
      </c>
      <c r="F12" s="50">
        <f t="shared" si="0"/>
        <v>0</v>
      </c>
      <c r="G12" s="41">
        <f t="shared" si="1"/>
        <v>1</v>
      </c>
      <c r="H12" s="60"/>
      <c r="I12" s="57"/>
      <c r="J12" s="57"/>
      <c r="K12" s="41"/>
      <c r="L12" s="41"/>
    </row>
    <row r="13" spans="1:51" x14ac:dyDescent="0.2">
      <c r="A13" s="57">
        <v>3</v>
      </c>
      <c r="B13" s="41">
        <v>1</v>
      </c>
      <c r="C13" s="49">
        <v>1</v>
      </c>
      <c r="D13" s="49">
        <v>1.18</v>
      </c>
      <c r="E13" s="49">
        <v>1</v>
      </c>
      <c r="F13" s="50">
        <f t="shared" si="0"/>
        <v>0.17999999999999994</v>
      </c>
      <c r="G13" s="41">
        <f t="shared" si="1"/>
        <v>1.0599999999999998</v>
      </c>
      <c r="H13" s="59" t="s">
        <v>180</v>
      </c>
      <c r="I13" s="57">
        <f>(F13+F14+F15+F16+F17)/5</f>
        <v>0.12799999999999997</v>
      </c>
      <c r="J13" s="57">
        <f>(G13+G14+G15+G16+G17)/5</f>
        <v>1.0459999999999998</v>
      </c>
      <c r="K13" s="41"/>
      <c r="L13" s="41"/>
    </row>
    <row r="14" spans="1:51" x14ac:dyDescent="0.2">
      <c r="A14" s="57"/>
      <c r="B14" s="41">
        <v>2</v>
      </c>
      <c r="C14" s="49">
        <v>1.21</v>
      </c>
      <c r="D14" s="49">
        <v>1</v>
      </c>
      <c r="E14" s="49">
        <v>1</v>
      </c>
      <c r="F14" s="50">
        <f t="shared" si="0"/>
        <v>0.20999999999999996</v>
      </c>
      <c r="G14" s="41">
        <f t="shared" si="1"/>
        <v>1.07</v>
      </c>
      <c r="H14" s="60"/>
      <c r="I14" s="57"/>
      <c r="J14" s="57"/>
      <c r="K14" s="41"/>
      <c r="L14" s="41"/>
    </row>
    <row r="15" spans="1:51" x14ac:dyDescent="0.2">
      <c r="A15" s="57"/>
      <c r="B15" s="41">
        <v>3</v>
      </c>
      <c r="C15" s="49">
        <v>1</v>
      </c>
      <c r="D15" s="49">
        <v>1</v>
      </c>
      <c r="E15" s="49">
        <v>1</v>
      </c>
      <c r="F15" s="50">
        <f t="shared" si="0"/>
        <v>0</v>
      </c>
      <c r="G15" s="41">
        <f t="shared" si="1"/>
        <v>1</v>
      </c>
      <c r="H15" s="60"/>
      <c r="I15" s="57"/>
      <c r="J15" s="57"/>
      <c r="K15" s="41"/>
      <c r="L15" s="41"/>
    </row>
    <row r="16" spans="1:51" x14ac:dyDescent="0.2">
      <c r="A16" s="57"/>
      <c r="B16" s="41">
        <v>4</v>
      </c>
      <c r="C16" s="49">
        <v>1.25</v>
      </c>
      <c r="D16" s="49">
        <v>1.05</v>
      </c>
      <c r="E16" s="49">
        <v>1</v>
      </c>
      <c r="F16" s="50">
        <f t="shared" si="0"/>
        <v>0.25</v>
      </c>
      <c r="G16" s="41">
        <f t="shared" si="1"/>
        <v>1.0999999999999999</v>
      </c>
      <c r="H16" s="60"/>
      <c r="I16" s="57"/>
      <c r="J16" s="57"/>
      <c r="K16" s="41"/>
      <c r="L16" s="41"/>
    </row>
    <row r="17" spans="1:12" x14ac:dyDescent="0.2">
      <c r="A17" s="57"/>
      <c r="B17" s="41">
        <v>5</v>
      </c>
      <c r="C17" s="49">
        <v>1</v>
      </c>
      <c r="D17" s="49">
        <v>1</v>
      </c>
      <c r="E17" s="49">
        <v>1</v>
      </c>
      <c r="F17" s="50">
        <f t="shared" si="0"/>
        <v>0</v>
      </c>
      <c r="G17" s="41">
        <f t="shared" si="1"/>
        <v>1</v>
      </c>
      <c r="H17" s="60"/>
      <c r="I17" s="57"/>
      <c r="J17" s="57"/>
      <c r="K17" s="41"/>
      <c r="L17" s="41"/>
    </row>
    <row r="25" spans="1:12" x14ac:dyDescent="0.2">
      <c r="A25" s="47" t="s">
        <v>182</v>
      </c>
      <c r="B25" s="41">
        <f>K3</f>
        <v>0.18866666666666668</v>
      </c>
    </row>
    <row r="26" spans="1:12" x14ac:dyDescent="0.2">
      <c r="A26" s="47" t="s">
        <v>184</v>
      </c>
      <c r="B26" s="41">
        <v>1.708</v>
      </c>
    </row>
    <row r="27" spans="1:12" x14ac:dyDescent="0.2">
      <c r="A27" s="47" t="s">
        <v>190</v>
      </c>
      <c r="B27">
        <f>1/B26</f>
        <v>0.58548009367681497</v>
      </c>
    </row>
    <row r="28" spans="1:12" x14ac:dyDescent="0.2">
      <c r="A28" s="47" t="s">
        <v>185</v>
      </c>
      <c r="B28" s="41">
        <f>B25*B27</f>
        <v>0.11046057767369243</v>
      </c>
    </row>
    <row r="29" spans="1:12" x14ac:dyDescent="0.2">
      <c r="A29" s="41"/>
      <c r="B29" s="41"/>
    </row>
    <row r="30" spans="1:12" x14ac:dyDescent="0.2">
      <c r="A30" s="47" t="s">
        <v>186</v>
      </c>
      <c r="B30" s="41">
        <f>L3</f>
        <v>6.2000000000000055E-2</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f>SQRT((B30*B34)^2)-((B28)^2)/(B31*B32)</f>
        <v>2.5716303033599976E-2</v>
      </c>
      <c r="C37" s="41"/>
      <c r="D37" s="41"/>
    </row>
    <row r="38" spans="1:4" x14ac:dyDescent="0.2">
      <c r="A38" s="47" t="s">
        <v>192</v>
      </c>
      <c r="B38" s="41">
        <f>SQRT((B28)^2)+(B37)^2</f>
        <v>0.11112190591540837</v>
      </c>
      <c r="C38" s="41"/>
      <c r="D38" s="41"/>
    </row>
    <row r="39" spans="1:4" x14ac:dyDescent="0.2">
      <c r="A39" s="47" t="s">
        <v>199</v>
      </c>
      <c r="B39" s="48">
        <f>B38</f>
        <v>0.11112190591540837</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62</v>
      </c>
      <c r="B5" s="14" t="s">
        <v>52</v>
      </c>
      <c r="C5" s="14" t="s">
        <v>47</v>
      </c>
      <c r="D5" s="14"/>
      <c r="E5" s="14"/>
      <c r="F5" s="14"/>
    </row>
    <row r="6" spans="1:6" x14ac:dyDescent="0.2">
      <c r="A6" s="15"/>
      <c r="B6" s="14" t="s">
        <v>78</v>
      </c>
      <c r="C6" s="14" t="s">
        <v>63</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67</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topLeftCell="A46" workbookViewId="0">
      <selection activeCell="A67" sqref="A67"/>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106</v>
      </c>
    </row>
    <row r="47" spans="1:1" x14ac:dyDescent="0.2">
      <c r="A47" s="6" t="s">
        <v>89</v>
      </c>
    </row>
    <row r="48" spans="1:1"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31" sqref="B31"/>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I30" sqref="I30"/>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2023-04-11T17:52:19Z</dcterms:modified>
  <cp:category/>
  <cp:contentStatus/>
</cp:coreProperties>
</file>