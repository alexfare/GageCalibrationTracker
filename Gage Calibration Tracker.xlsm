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5A9F8FB4-A250-42C5-8F1C-E6D0B0CC9B99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Customers!$B$2:$B$2</definedName>
    <definedName name="inputPassword">Credentials!$B$2:$B$4</definedName>
    <definedName name="inputUsername" localSheetId="3">Customers!$A$2:$A$2</definedName>
    <definedName name="inputUsername">Credentials!$A$2:$A$4</definedName>
    <definedName name="Password" localSheetId="3">Customers!$B$2:$B$2</definedName>
    <definedName name="Password">Credentials!$B$2:$B$4</definedName>
    <definedName name="_xlnm.Print_Area" localSheetId="0">CreatedByAlexFare!$A$2:$G$257</definedName>
    <definedName name="Status_List">Lists!$A$2:$A$5</definedName>
    <definedName name="UserCombinations" localSheetId="3">Customers!$A$2:$B$2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<sst xmlns="http://schemas.openxmlformats.org/spreadsheetml/2006/main" count="3453" uniqueCount="993">
  <si>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</si>
  <si>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</si>
  <si>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</si>
  <si>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</si>
  <si>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</si>
  <si>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</si>
  <si>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</si>
  <si>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</si>
  <si>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</si>
  <si>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</si>
  <si>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</si>
  <si>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</si>
  <si>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</si>
  <si>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</si>
  <si>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</si>
  <si>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</si>
  <si>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</si>
  <si>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</si>
  <si>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</si>
  <si>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</si>
  <si>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</si>
  <si>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</si>
  <si>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</si>
  <si>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</si>
  <si>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</si>
  <si>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</si>
  <si>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</si>
  <si>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</si>
  <si>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</si>
  <si>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</si>
  <si>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</si>
  <si>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</si>
  <si>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</si>
  <si>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</si>
  <si>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</si>
  <si>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</si>
  <si>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</si>
  <si>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</si>
  <si>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</si>
  <si>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</si>
  <si>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</si>
  <si>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</si>
  <si>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</si>
  <si>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</si>
  <si>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</si>
  <si>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</si>
  <si>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</si>
  <si>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</si>
  <si>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</si>
  <si>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</si>
  <si>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</si>
  <si>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</si>
  <si>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</si>
  <si>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</si>
  <si>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</si>
  <si>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</si>
  <si>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</si>
  <si>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</si>
  <si>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</si>
  <si>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</si>
  <si>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</si>
  <si>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</si>
  <si>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</si>
  <si>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</si>
  <si>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</si>
  <si>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</si>
  <si>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</si>
  <si>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</si>
  <si>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</si>
  <si>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</si>
  <si>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</si>
  <si>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</si>
  <si>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</si>
  <si>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</si>
  <si>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</si>
  <si>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</si>
  <si>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</si>
  <si>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</si>
  <si>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</si>
  <si>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</si>
  <si>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</si>
  <si>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</si>
  <si>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</si>
  <si>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</si>
  <si>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</si>
  <si>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</si>
  <si>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</si>
  <si>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</si>
  <si>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</si>
  <si>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</si>
  <si>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</si>
  <si>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</si>
  <si>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</si>
  <si>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</si>
  <si>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</si>
  <si>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</si>
  <si>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</si>
  <si>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</si>
  <si>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</si>
  <si>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</si>
  <si>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</si>
  <si>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</si>
  <si>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</si>
  <si>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</si>
  <si>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</si>
  <si>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</si>
  <si>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</si>
  <si>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</si>
  <si>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</si>
  <si>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</si>
  <si>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</si>
  <si>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</si>
  <si>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</si>
  <si>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</si>
  <si>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</si>
  <si>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</si>
  <si>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</si>
  <si>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</si>
  <si>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</si>
  <si>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</si>
  <si>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</si>
  <si>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</si>
  <si>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</si>
  <si>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</si>
  <si>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</si>
  <si>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</si>
  <si>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</si>
  <si>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</si>
  <si>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</si>
  <si>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</si>
  <si>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</si>
  <si>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</si>
  <si>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</si>
  <si>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</si>
  <si>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</si>
  <si>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</si>
  <si>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</si>
  <si>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</si>
  <si>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</si>
  <si>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</si>
  <si>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</si>
  <si>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</si>
  <si>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</si>
  <si>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</si>
  <si>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</si>
  <si>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</si>
  <si>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</si>
  <si>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</si>
  <si>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</si>
  <si>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</si>
  <si>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</si>
  <si>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</si>
  <si>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</si>
  <si>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</si>
  <si>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</si>
  <si>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</si>
  <si>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</si>
  <si>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</si>
  <si>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</si>
  <si>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</si>
  <si>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</si>
  <si>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</si>
  <si>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</si>
  <si>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</si>
  <si>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</si>
  <si>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</si>
  <si>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</si>
  <si>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</si>
  <si>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</si>
  <si>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</si>
  <si>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</si>
  <si>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</si>
  <si>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</si>
  <si>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</si>
  <si>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</si>
  <si>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</si>
  <si>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</si>
  <si>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</si>
  <si>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</si>
  <si>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</si>
  <si>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</si>
  <si>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</si>
  <si>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</si>
  <si>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</si>
  <si>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</si>
  <si>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</si>
  <si>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</si>
  <si>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</si>
  <si>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</si>
  <si>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</si>
  <si>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</si>
  <si>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</si>
  <si>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</si>
  <si>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</si>
  <si>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</si>
  <si>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</si>
  <si>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</si>
  <si>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</si>
  <si>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</si>
  <si>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</si>
  <si>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</si>
  <si>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</si>
  <si>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</si>
  <si>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</si>
  <si>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</si>
  <si>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</si>
  <si>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</si>
  <si>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</si>
  <si>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</si>
  <si>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</si>
  <si>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</si>
  <si>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</si>
  <si>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</si>
  <si>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</si>
  <si>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</si>
  <si>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</si>
  <si>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</si>
  <si>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</si>
  <si>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</si>
  <si>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</si>
  <si>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</si>
  <si>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</si>
  <si>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</si>
  <si>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</si>
  <si>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</si>
  <si>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</si>
  <si>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</si>
  <si>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</si>
  <si>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</si>
  <si>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</si>
  <si>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</si>
  <si>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</si>
  <si>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</si>
  <si>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</si>
  <si>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</si>
  <si>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</si>
  <si>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</si>
  <si>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</si>
  <si>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</si>
  <si>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</si>
  <si>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</si>
  <si>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</si>
  <si>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</si>
  <si>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</si>
  <si>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</si>
  <si>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</si>
  <si>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</si>
  <si>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</si>
  <si>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</si>
  <si>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</si>
  <si>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</si>
  <si>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</si>
  <si>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</si>
  <si>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</si>
  <si>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</si>
  <si>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</si>
  <si>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</si>
  <si>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</si>
  <si>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</si>
  <si>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</si>
  <si>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</si>
  <si>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</si>
  <si>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</si>
  <si>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</si>
  <si>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</si>
  <si>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</si>
  <si>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</si>
  <si>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</si>
  <si>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</si>
  <si>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</si>
  <si>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</si>
  <si>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</si>
  <si>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</si>
  <si>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</si>
  <si>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</si>
  <si>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</si>
  <si>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</si>
  <si>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</si>
  <si>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</si>
  <si>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</si>
  <si>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</si>
  <si>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</si>
  <si>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</si>
  <si>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</si>
  <si>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</si>
  <si>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</si>
  <si>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</si>
  <si>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</si>
  <si>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</si>
  <si>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</si>
  <si>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</si>
  <si>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</si>
  <si>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</si>
  <si>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</si>
  <si>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</si>
  <si>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</si>
  <si>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</si>
  <si>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</si>
  <si>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</si>
  <si>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</si>
  <si>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</si>
  <si>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</si>
  <si>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</si>
  <si>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</si>
  <si>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</si>
  <si>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</si>
  <si>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</si>
  <si>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</si>
  <si>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</si>
  <si>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</si>
  <si>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</si>
  <si>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</si>
  <si>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</si>
  <si>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</si>
  <si>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</si>
  <si>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</si>
  <si>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</si>
  <si>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</si>
  <si>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</si>
  <si>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</si>
  <si>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</si>
  <si>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</si>
  <si>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</si>
  <si>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</si>
  <si>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</si>
  <si>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</si>
  <si>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</si>
  <si>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</si>
  <si>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</si>
  <si>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</si>
  <si>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</si>
  <si>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</si>
  <si>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</si>
  <si>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</si>
  <si>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</si>
  <si>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</si>
  <si>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</si>
  <si>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</si>
  <si>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</si>
  <si>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</si>
  <si>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</si>
  <si>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</si>
  <si>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</si>
  <si>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</si>
  <si>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</si>
  <si>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</si>
  <si>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</si>
  <si>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</si>
  <si>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</si>
  <si>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</si>
  <si>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</si>
  <si>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</si>
  <si>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</si>
  <si>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</si>
  <si>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</si>
  <si>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</si>
  <si>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</si>
  <si>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</si>
  <si>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</si>
  <si>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</si>
  <si>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</si>
  <si>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</si>
  <si>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</si>
  <si>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</si>
  <si>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</si>
  <si>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</si>
  <si>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</si>
  <si>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</si>
  <si>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</si>
  <si>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</si>
  <si>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</si>
  <si>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</si>
  <si>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</si>
  <si>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</si>
  <si>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</si>
  <si>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</si>
  <si>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</si>
  <si>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</si>
  <si>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</si>
  <si>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</si>
  <si>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</si>
  <si>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</si>
  <si>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</si>
  <si>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</si>
  <si>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</si>
  <si>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</si>
  <si>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</si>
  <si>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</si>
  <si>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</si>
  <si>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</si>
  <si>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</si>
  <si>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</si>
  <si>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</si>
  <si>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</si>
  <si>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</si>
  <si>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</si>
  <si>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</si>
  <si>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</si>
  <si>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</si>
  <si>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</si>
  <si>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</si>
  <si>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</si>
  <si>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</si>
  <si>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</si>
  <si>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</si>
  <si>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</si>
  <si>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</si>
  <si>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</si>
  <si>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</si>
  <si>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</si>
  <si>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</si>
  <si>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</si>
  <si>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</si>
  <si>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</si>
  <si>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</si>
  <si>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</si>
  <si>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</si>
  <si>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</si>
  <si>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</si>
  <si>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</si>
  <si>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</si>
  <si>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</si>
  <si>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</si>
  <si>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</si>
  <si>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</si>
  <si>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</si>
  <si>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</si>
  <si>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</si>
  <si>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</si>
  <si>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</si>
  <si>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</si>
  <si>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</si>
  <si>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</si>
  <si>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</si>
  <si>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</si>
  <si>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</si>
  <si>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</si>
  <si>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</si>
  <si>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</si>
  <si>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</si>
  <si>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</si>
  <si>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</si>
  <si>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</si>
  <si>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</si>
  <si>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</si>
  <si>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</si>
  <si>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</si>
  <si>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</si>
  <si>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</si>
  <si>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</si>
  <si>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</si>
  <si>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</si>
  <si>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</si>
  <si>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</si>
  <si>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</si>
  <si>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</si>
  <si>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</si>
  <si>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</si>
  <si>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</si>
  <si>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</si>
  <si>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</si>
  <si>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</si>
  <si>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</si>
  <si>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</si>
  <si>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</si>
  <si>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</si>
  <si>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</si>
  <si>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</si>
  <si>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</si>
  <si>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</si>
  <si>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</si>
  <si>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</si>
  <si>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</si>
  <si>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</si>
  <si>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</si>
  <si>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</si>
  <si>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</si>
  <si>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</si>
  <si>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</si>
  <si>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</si>
  <si>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</si>
  <si>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</si>
  <si>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</si>
  <si>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</si>
  <si>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</si>
  <si>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</si>
  <si>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</si>
  <si>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</si>
  <si>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</si>
  <si>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</si>
  <si>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</si>
  <si>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</si>
  <si>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</si>
  <si>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</si>
  <si>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</si>
  <si>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</si>
  <si>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</si>
  <si>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</si>
  <si>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</si>
  <si>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</si>
  <si>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</si>
  <si>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</si>
  <si>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</si>
  <si>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</si>
  <si>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</si>
  <si>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</si>
  <si>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</si>
  <si>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</si>
  <si>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</si>
  <si>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</si>
  <si>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</si>
  <si>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</si>
  <si>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</si>
  <si>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</si>
  <si>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</si>
  <si>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</si>
  <si>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</si>
  <si>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</si>
  <si>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</si>
  <si>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</si>
  <si>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</si>
  <si>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</si>
  <si>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</si>
  <si>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</si>
  <si>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</si>
  <si>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</si>
  <si>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</si>
  <si>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</si>
  <si>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</si>
  <si>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</si>
  <si>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</si>
  <si>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</si>
  <si>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</si>
  <si>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</si>
  <si>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</si>
  <si>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</si>
  <si>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</si>
  <si>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</si>
  <si>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</si>
  <si>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</si>
  <si>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</si>
  <si>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</si>
  <si>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</si>
  <si>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</si>
  <si>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</si>
  <si>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</si>
  <si>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</si>
  <si>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</si>
  <si>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</si>
  <si>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</si>
  <si>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</si>
  <si>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</si>
  <si>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</si>
  <si>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</si>
  <si>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</si>
  <si>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</si>
  <si>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</si>
  <si>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</si>
  <si>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</si>
  <si>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</si>
  <si>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</si>
  <si>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</si>
  <si>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</si>
  <si>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</si>
  <si>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</si>
  <si>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</si>
  <si>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</si>
  <si>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</si>
  <si>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</si>
  <si>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</si>
  <si>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</si>
  <si>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</si>
  <si>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</si>
  <si>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</si>
  <si>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</si>
  <si>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</si>
  <si>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</si>
  <si>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</si>
  <si>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</si>
  <si>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</si>
  <si>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</si>
  <si>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</si>
  <si>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</si>
  <si>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</si>
  <si>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</si>
  <si>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</si>
  <si>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</si>
  <si>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</si>
  <si>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</si>
  <si>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</si>
  <si>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</si>
  <si>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</si>
  <si>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</si>
  <si>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</si>
  <si>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</si>
  <si>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</si>
  <si>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</si>
  <si>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</si>
  <si>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</si>
  <si>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</si>
  <si>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</si>
  <si>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</si>
  <si>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</si>
  <si>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</si>
  <si>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</si>
  <si>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</si>
  <si>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</si>
  <si>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</si>
  <si>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</si>
  <si>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</si>
  <si>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</si>
  <si>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</si>
  <si>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</si>
  <si>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</si>
  <si>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</si>
  <si>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</si>
  <si>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</si>
  <si>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</si>
  <si>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</si>
  <si>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</si>
  <si>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</si>
  <si>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</si>
  <si>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</si>
  <si>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</si>
  <si>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</si>
  <si>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</si>
  <si>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</si>
  <si>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</si>
  <si>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</si>
  <si>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</si>
  <si>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</si>
  <si>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</si>
  <si>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</si>
  <si>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</si>
  <si>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</si>
  <si>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</si>
  <si>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</si>
  <si>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</si>
  <si>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</si>
  <si>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</si>
  <si>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</si>
  <si>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</si>
  <si>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</si>
  <si>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</si>
  <si>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</si>
  <si>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</si>
  <si>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</si>
  <si>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</si>
  <si>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</si>
  <si>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</si>
  <si>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</si>
  <si>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</si>
  <si>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</si>
  <si>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</si>
  <si>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</si>
  <si>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</si>
  <si>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</si>
  <si>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</si>
  <si>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</si>
  <si>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</si>
  <si>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</si>
  <si>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</si>
  <si>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</si>
  <si>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</si>
  <si>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</si>
  <si>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</si>
  <si>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</si>
  <si>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</si>
  <si>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</si>
  <si>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</si>
  <si>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</si>
  <si>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</si>
  <si>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</si>
  <si>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</si>
  <si>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</si>
  <si>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</si>
  <si>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</si>
  <si>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</si>
  <si>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</si>
  <si>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</si>
  <si>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</si>
  <si>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</si>
  <si>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</si>
  <si>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</si>
  <si>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</si>
  <si>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</si>
  <si>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</si>
  <si>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</si>
  <si>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</si>
  <si>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</si>
  <si>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</si>
  <si>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</si>
  <si>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</si>
  <si>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</si>
  <si>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</si>
  <si>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</si>
  <si>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</si>
  <si>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</si>
  <si>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</si>
  <si>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</si>
  <si>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</si>
  <si>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</si>
  <si>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</si>
  <si>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</si>
  <si>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</si>
  <si>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</si>
  <si>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</si>
  <si>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</si>
  <si>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</si>
  <si>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</si>
  <si>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</si>
  <si>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</si>
  <si>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</si>
  <si>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</si>
  <si>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</si>
  <si>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</si>
  <si>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</si>
  <si>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</si>
  <si>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</si>
  <si>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</si>
  <si>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</si>
  <si>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</si>
  <si>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</si>
  <si>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</si>
  <si>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</si>
  <si>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</si>
  <si>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</si>
  <si>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</si>
  <si>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</si>
  <si>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</si>
  <si>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</si>
  <si>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</si>
  <si>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</si>
  <si>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</si>
  <si>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</si>
  <si>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</si>
  <si>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</si>
  <si>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</si>
  <si>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</si>
  <si>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</si>
  <si>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</si>
  <si>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</si>
  <si>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</si>
  <si>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</si>
  <si>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</si>
  <si>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</si>
  <si>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</si>
  <si>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</si>
  <si>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</si>
  <si>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</si>
  <si>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</si>
  <si>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</si>
  <si>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</si>
  <si>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</si>
  <si>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</si>
  <si>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</si>
  <si>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</si>
  <si>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</si>
  <si>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</si>
  <si>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</si>
  <si>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</si>
  <si>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</si>
  <si>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</si>
  <si>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</si>
  <si>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</si>
  <si>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</si>
  <si>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</si>
  <si>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</si>
  <si>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</si>
  <si>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</si>
  <si>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</si>
  <si>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</si>
  <si>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</si>
  <si>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</si>
  <si>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</si>
  <si>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</si>
  <si>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</si>
  <si>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</si>
  <si>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</si>
  <si>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</si>
  <si>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</si>
  <si>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</si>
  <si>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</si>
  <si>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</si>
  <si>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</si>
  <si>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</si>
  <si>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</si>
  <si>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</si>
  <si>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</si>
  <si>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</si>
  <si>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</si>
  <si>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</si>
  <si>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</si>
  <si>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</si>
  <si>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</si>
  <si>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</si>
  <si>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</si>
  <si>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</si>
  <si>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</si>
  <si>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</si>
  <si>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</si>
  <si>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</si>
  <si>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</si>
  <si>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</si>
  <si>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</si>
  <si>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</si>
  <si>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</si>
  <si>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</si>
  <si>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</si>
  <si>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</si>
  <si>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</si>
  <si>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</si>
  <si>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</si>
  <si>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</si>
  <si>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</si>
  <si>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</si>
  <si>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</si>
  <si>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</si>
  <si>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</si>
  <si>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</si>
  <si>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</si>
  <si>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</si>
  <si>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</si>
  <si>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</si>
  <si>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</si>
  <si>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</si>
  <si>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</si>
  <si>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</si>
  <si>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</si>
  <si>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</si>
  <si>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</si>
  <si>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</si>
  <si>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</si>
  <si>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</si>
  <si>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</si>
  <si>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</si>
  <si>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</si>
  <si>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</si>
  <si>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</si>
  <si>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</si>
  <si>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</si>
  <si>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</si>
  <si>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</si>
  <si>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</si>
  <si>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</si>
  <si>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</si>
  <si>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</si>
  <si>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</si>
  <si>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</si>
  <si>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</si>
  <si>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</si>
  <si>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</si>
  <si>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</si>
  <si>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</si>
  <si>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</si>
  <si>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</si>
  <si>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</si>
  <si>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</si>
  <si>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</si>
  <si>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</si>
  <si>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</si>
  <si>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</si>
  <si>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</si>
  <si>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</si>
  <si>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</si>
  <si>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</si>
  <si>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</si>
  <si>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</si>
  <si>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</si>
  <si>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</si>
  <si>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</si>
  <si>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</si>
  <si>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</si>
  <si>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</si>
  <si>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</si>
  <si>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</si>
  <si>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</si>
  <si>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</si>
  <si>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</si>
  <si>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</si>
  <si>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</si>
  <si>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</si>
  <si>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</si>
  <si>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</si>
  <si>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</si>
  <si>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</si>
  <si>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</si>
  <si>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</si>
  <si>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</si>
  <si>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</si>
  <si>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</si>
  <si>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</si>
  <si>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</si>
  <si>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</si>
  <si>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</si>
  <si>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</si>
  <si>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</si>
  <si>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</si>
  <si>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Aaron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</si>
  <si>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</si>
  <si>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</si>
  <si>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</si>
  <si>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</si>
  <si>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</si>
  <si>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</si>
  <si>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</si>
  <si>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</si>
  <si>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</si>
  <si>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</si>
  <si>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</si>
  <si>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</si>
  <si>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</si>
  <si>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</si>
  <si>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</si>
  <si>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</si>
  <si>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</si>
  <si>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</si>
  <si>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</si>
  <si>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</si>
  <si>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</si>
  <si>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</si>
  <si>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</si>
  <si>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</si>
  <si>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</si>
  <si>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</si>
  <si>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</si>
  <si>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</si>
  <si>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</si>
  <si>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</si>
  <si>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</si>
  <si>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</si>
  <si>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</si>
  <si>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</si>
  <si>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</si>
  <si>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</si>
  <si>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</si>
  <si>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</si>
  <si>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</si>
  <si>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</si>
  <si>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</si>
  <si>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</si>
  <si>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</si>
  <si>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</si>
  <si>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</si>
  <si>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</si>
  <si>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</si>
  <si>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Label Locations</t>
  </si>
  <si>
    <t>Small Label:</t>
  </si>
  <si>
    <t>Large Label:</t>
  </si>
  <si>
    <t>M:\Envision Engineering - 9001\UnControlled_Dropbox\P-Touch Labels\Calibration Label - Large.lbx</t>
  </si>
  <si>
    <t>M:\Envision Engineering - 9001\UnControlled_Dropbox\P-Touch Labels\Calibration Label - Small.lbx</t>
  </si>
  <si>
    <t>Damaged.</t>
  </si>
  <si>
    <t>NB60CPM130 - 4600-6611</t>
  </si>
  <si>
    <t>admin</t>
  </si>
  <si>
    <t>x61Ey612Kl2gpFL56FT9weDnpSo4AV8j8+qx2AuTHdRyY036xxzTTrw10Wq3+4qQyB+XURPWx1ONxp3Y3pB37A==</t>
  </si>
  <si>
    <t>Thread Measuring Wires</t>
  </si>
  <si>
    <t>Misc</t>
  </si>
  <si>
    <t>TMW#001</t>
  </si>
  <si>
    <t>01/09/2023</t>
  </si>
  <si>
    <t>01/09/2025</t>
  </si>
  <si>
    <t>0.018</t>
  </si>
  <si>
    <t>0.024</t>
  </si>
  <si>
    <t>0.040</t>
  </si>
  <si>
    <t>0.127</t>
  </si>
  <si>
    <t>0.185</t>
  </si>
  <si>
    <t>xdVs1xCWev06Oyx63Ji1GA7B1D8knGNWpZ8KEjGL7WjO3NEi96cNtcuC08Dm36fKbJcfP7tqu11Qg5dR7FtSkA==</t>
  </si>
  <si>
    <t>Profile</t>
  </si>
  <si>
    <t>Company Name</t>
  </si>
  <si>
    <t>Phone Number</t>
  </si>
  <si>
    <t>Reserve1</t>
  </si>
  <si>
    <t>Reserve2</t>
  </si>
  <si>
    <t>Reserve3</t>
  </si>
  <si>
    <t>Calibrated By:</t>
  </si>
  <si>
    <t>Part Number:</t>
  </si>
  <si>
    <t>Calibrated Date:</t>
  </si>
  <si>
    <t>Due Date:</t>
  </si>
  <si>
    <t>Stats</t>
  </si>
  <si>
    <t>Workbook opened</t>
  </si>
  <si>
    <t>Admin Logins</t>
  </si>
  <si>
    <t>Gage Count</t>
  </si>
  <si>
    <t>Gage Updates</t>
  </si>
  <si>
    <t>Users Count</t>
  </si>
  <si>
    <t>1/4/2023</t>
  </si>
  <si>
    <t>01/04/2025</t>
  </si>
  <si>
    <t>1/9/2023 10:50:27 AM</t>
  </si>
  <si>
    <t>Envision Engineering</t>
  </si>
  <si>
    <t>616-897-0599</t>
  </si>
  <si>
    <t>12650 Envision Dr S E, Lowell, MI 49331</t>
  </si>
  <si>
    <t>www.envisionengineering.com</t>
  </si>
  <si>
    <t>v3.11.0</t>
  </si>
  <si>
    <t>Job Position</t>
  </si>
  <si>
    <t>Email</t>
  </si>
  <si>
    <t>Current Logged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</si>
</sst>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8" fillId="0" borderId="0" xfId="0" applyFont="1"/>
    <xf numFmtId="0" fontId="8" fillId="0" borderId="0" xfId="0" applyFont="1" applyAlignment="1">
      <alignment horizontal="right"/>
    </xf>
    <xf numFmtId="14" fontId="9" fillId="0" borderId="0" xfId="0" applyNumberFormat="1" applyFont="1" applyAlignment="1">
      <alignment horizontal="center" vertical="center"/>
    </xf>
    <xf numFmtId="14" fontId="9" fillId="0" borderId="17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13" xfId="0" applyFont="1" applyBorder="1" applyAlignment="1">
      <alignment horizontal="right"/>
    </xf>
    <xf numFmtId="0" fontId="8" fillId="0" borderId="14" xfId="0" applyFont="1" applyBorder="1" applyAlignment="1">
      <alignment horizontal="right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7" totalsRowShown="0" headerRowDxfId="46" dataDxfId="44" headerRowBorderDxfId="45" tableBorderDxfId="43" totalsRowBorderDxfId="42" dataCellStyle="Normal">
  <autoFilter ref="A2:Z257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6" dataDxfId="5">
  <autoFilter ref="A1:D2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9"/>
  <sheetViews>
    <sheetView showGridLines="0" tabSelected="1" zoomScale="115" zoomScaleNormal="115" zoomScaleSheetLayoutView="69" workbookViewId="0">
      <pane ySplit="2" topLeftCell="A212" activePane="bottomLeft" state="frozen"/>
      <selection pane="bottomLeft" activeCell="D286" sqref="D28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7" t="s">
        <v>900</v>
      </c>
      <c r="B1" s="38"/>
      <c r="C1" s="38"/>
      <c r="D1" s="38"/>
      <c r="E1" s="38"/>
      <c r="F1" s="38"/>
      <c r="G1" s="38"/>
      <c r="H1" s="38"/>
      <c r="I1" s="38"/>
      <c r="J1" s="6">
        <f ca="1">TODAY()</f>
        <v>44937</v>
      </c>
      <c r="Z1" s="8" t="s">
        <v>989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920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926</v>
      </c>
      <c r="AB7" s="1" t="s">
        <v>926</v>
      </c>
      <c r="AC7" s="1" t="s">
        <v>927</v>
      </c>
      <c r="AD7" s="1" t="s">
        <v>928</v>
      </c>
      <c r="AE7" s="1" t="s">
        <v>929</v>
      </c>
      <c r="AF7" s="1" t="s">
        <v>929</v>
      </c>
      <c r="AG7" s="1" t="s">
        <v>930</v>
      </c>
      <c r="AH7" s="1" t="s">
        <v>930</v>
      </c>
      <c r="AI7" s="1" t="s">
        <v>931</v>
      </c>
      <c r="AJ7" s="1" t="s">
        <v>931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933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902</v>
      </c>
      <c r="G18" s="21" t="s">
        <v>903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901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932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939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940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924</v>
      </c>
      <c r="G90" s="21" t="s">
        <v>925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909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910</v>
      </c>
      <c r="AB109" s="1" t="s">
        <v>911</v>
      </c>
      <c r="AC109" s="1" t="s">
        <v>912</v>
      </c>
      <c r="AD109" s="1" t="s">
        <v>913</v>
      </c>
      <c r="AE109" s="1" t="s">
        <v>914</v>
      </c>
      <c r="AF109" s="1" t="s">
        <v>915</v>
      </c>
      <c r="AG109" s="1" t="s">
        <v>916</v>
      </c>
      <c r="AH109" s="1" t="s">
        <v>917</v>
      </c>
      <c r="AI109" s="1" t="s">
        <v>918</v>
      </c>
      <c r="AJ109" s="1" t="s">
        <v>919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922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934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941</v>
      </c>
      <c r="B226" s="20" t="s">
        <v>49</v>
      </c>
      <c r="C226" s="20" t="s">
        <v>942</v>
      </c>
      <c r="D226" s="20" t="s">
        <v>339</v>
      </c>
      <c r="E226" s="20" t="s">
        <v>153</v>
      </c>
      <c r="F226" s="21">
        <v>44931</v>
      </c>
      <c r="G226" s="21">
        <v>45296</v>
      </c>
      <c r="H226" s="20" t="s">
        <v>45</v>
      </c>
      <c r="I226" s="20" t="s">
        <v>94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810</v>
      </c>
      <c r="B227" s="20">
        <v>362114510</v>
      </c>
      <c r="C227" s="20" t="s">
        <v>811</v>
      </c>
      <c r="D227" s="4" t="s">
        <v>152</v>
      </c>
      <c r="E227" s="20" t="s">
        <v>153</v>
      </c>
      <c r="F227" s="21">
        <v>44376</v>
      </c>
      <c r="G227" s="21" t="s">
        <v>812</v>
      </c>
      <c r="H227" s="20" t="s">
        <v>45</v>
      </c>
      <c r="I227" s="20" t="s">
        <v>112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923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813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 t="s">
        <v>814</v>
      </c>
      <c r="G228" s="21" t="s">
        <v>815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816</v>
      </c>
      <c r="B229" s="20">
        <v>302114510</v>
      </c>
      <c r="C229" s="20" t="s">
        <v>295</v>
      </c>
      <c r="D229" s="20" t="s">
        <v>167</v>
      </c>
      <c r="E229" s="20" t="s">
        <v>153</v>
      </c>
      <c r="F229" s="21">
        <v>44537</v>
      </c>
      <c r="G229" s="21" t="s">
        <v>817</v>
      </c>
      <c r="H229" s="20" t="s">
        <v>45</v>
      </c>
      <c r="I229" s="20" t="s">
        <v>232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818</v>
      </c>
      <c r="B230" s="20" t="s">
        <v>819</v>
      </c>
      <c r="C230" s="20" t="s">
        <v>820</v>
      </c>
      <c r="D230" s="20" t="s">
        <v>167</v>
      </c>
      <c r="E230" s="20" t="s">
        <v>153</v>
      </c>
      <c r="F230" s="21" t="s">
        <v>821</v>
      </c>
      <c r="G230" s="21" t="s">
        <v>817</v>
      </c>
      <c r="H230" s="20" t="s">
        <v>45</v>
      </c>
      <c r="I230" s="20" t="s">
        <v>94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822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112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826</v>
      </c>
      <c r="B232" s="20" t="s">
        <v>823</v>
      </c>
      <c r="C232" s="20" t="s">
        <v>824</v>
      </c>
      <c r="D232" s="20" t="s">
        <v>167</v>
      </c>
      <c r="E232" s="20" t="s">
        <v>153</v>
      </c>
      <c r="F232" s="21" t="s">
        <v>825</v>
      </c>
      <c r="G232" s="21">
        <v>45060</v>
      </c>
      <c r="H232" s="20" t="s">
        <v>45</v>
      </c>
      <c r="I232" s="20" t="s">
        <v>94</v>
      </c>
      <c r="J232" s="20" t="s">
        <v>49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827</v>
      </c>
      <c r="B234" s="20" t="s">
        <v>828</v>
      </c>
      <c r="C234" s="20" t="s">
        <v>829</v>
      </c>
      <c r="D234" s="20" t="s">
        <v>167</v>
      </c>
      <c r="E234" s="20" t="s">
        <v>153</v>
      </c>
      <c r="F234" s="21" t="s">
        <v>830</v>
      </c>
      <c r="G234" s="21">
        <v>45071</v>
      </c>
      <c r="H234" s="20" t="s">
        <v>45</v>
      </c>
      <c r="I234" s="20" t="s">
        <v>224</v>
      </c>
      <c r="J234" s="20" t="s">
        <v>831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834</v>
      </c>
      <c r="B236" s="20" t="s">
        <v>823</v>
      </c>
      <c r="C236" s="20" t="s">
        <v>829</v>
      </c>
      <c r="D236" s="20" t="s">
        <v>167</v>
      </c>
      <c r="E236" s="20" t="s">
        <v>153</v>
      </c>
      <c r="F236" s="21" t="s">
        <v>835</v>
      </c>
      <c r="G236" s="21" t="s">
        <v>836</v>
      </c>
      <c r="H236" s="20" t="s">
        <v>45</v>
      </c>
      <c r="I236" s="20" t="s">
        <v>112</v>
      </c>
      <c r="J236" s="20" t="s">
        <v>258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839</v>
      </c>
      <c r="B237" s="20" t="s">
        <v>49</v>
      </c>
      <c r="C237" s="20" t="s">
        <v>840</v>
      </c>
      <c r="D237" s="4" t="s">
        <v>841</v>
      </c>
      <c r="E237" s="20" t="s">
        <v>153</v>
      </c>
      <c r="F237" s="21" t="s">
        <v>478</v>
      </c>
      <c r="G237" s="21">
        <v>45028</v>
      </c>
      <c r="H237" s="20" t="s">
        <v>45</v>
      </c>
      <c r="I237" s="20" t="s">
        <v>842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921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843</v>
      </c>
      <c r="B239" s="20" t="s">
        <v>49</v>
      </c>
      <c r="C239" s="20" t="s">
        <v>844</v>
      </c>
      <c r="D239" s="20" t="s">
        <v>841</v>
      </c>
      <c r="E239" s="20" t="s">
        <v>153</v>
      </c>
      <c r="F239" s="21" t="s">
        <v>307</v>
      </c>
      <c r="G239" s="21">
        <v>44964</v>
      </c>
      <c r="H239" s="20" t="s">
        <v>45</v>
      </c>
      <c r="I239" s="20" t="s">
        <v>106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847</v>
      </c>
      <c r="B241" s="20" t="s">
        <v>49</v>
      </c>
      <c r="C241" s="20" t="s">
        <v>848</v>
      </c>
      <c r="D241" s="20" t="s">
        <v>841</v>
      </c>
      <c r="E241" s="20" t="s">
        <v>153</v>
      </c>
      <c r="F241" s="21" t="s">
        <v>849</v>
      </c>
      <c r="G241" s="21">
        <v>45225</v>
      </c>
      <c r="H241" s="20" t="s">
        <v>45</v>
      </c>
      <c r="I241" s="20" t="s">
        <v>404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44936.476539351854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957</v>
      </c>
      <c r="B255" s="24" t="s">
        <v>49</v>
      </c>
      <c r="C255" s="24" t="s">
        <v>955</v>
      </c>
      <c r="D255" s="24" t="s">
        <v>955</v>
      </c>
      <c r="E255" s="24" t="s">
        <v>153</v>
      </c>
      <c r="F255" s="25" t="s">
        <v>958</v>
      </c>
      <c r="G255" s="25" t="s">
        <v>959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943</v>
      </c>
      <c r="AB255" s="1" t="s">
        <v>943</v>
      </c>
      <c r="AC255" s="1" t="s">
        <v>943</v>
      </c>
      <c r="AD255" s="1" t="s">
        <v>943</v>
      </c>
      <c r="AE255" s="1" t="s">
        <v>943</v>
      </c>
      <c r="AF255" s="1" t="s">
        <v>943</v>
      </c>
      <c r="AG255" s="1" t="s">
        <v>943</v>
      </c>
      <c r="AH255" s="1" t="s">
        <v>943</v>
      </c>
      <c r="AI255" s="1" t="s">
        <v>943</v>
      </c>
      <c r="AJ255" s="1" t="s">
        <v>943</v>
      </c>
      <c r="AK255" s="22">
        <v>44931.580995370372</v>
      </c>
      <c r="AL255" s="22">
        <v>44937.291342592594</v>
      </c>
      <c r="AM255" s="22">
        <v>44937.291296296295</v>
      </c>
      <c r="AN255" s="1" t="s">
        <v>415</v>
      </c>
      <c r="AO255" s="3"/>
    </row>
    <row r="256" spans="1:41" s="19" customFormat="1" ht="16.350000000000001" hidden="1" customHeight="1" x14ac:dyDescent="0.2">
      <c r="A256" s="24" t="s">
        <v>944</v>
      </c>
      <c r="B256" s="24" t="s">
        <v>952</v>
      </c>
      <c r="C256" s="24" t="s">
        <v>945</v>
      </c>
      <c r="D256" s="24" t="s">
        <v>908</v>
      </c>
      <c r="E256" s="24" t="s">
        <v>153</v>
      </c>
      <c r="F256" s="25" t="s">
        <v>49</v>
      </c>
      <c r="G256" s="25" t="s">
        <v>49</v>
      </c>
      <c r="H256" s="24" t="s">
        <v>45</v>
      </c>
      <c r="I256" s="24" t="s">
        <v>94</v>
      </c>
      <c r="J256" s="24" t="s">
        <v>951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90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22">
        <v>44932.456597222219</v>
      </c>
      <c r="AM256" s="22">
        <v>44932.456620370373</v>
      </c>
      <c r="AN256" s="1" t="s">
        <v>415</v>
      </c>
      <c r="AO256" s="3"/>
    </row>
    <row r="257" spans="1:41" s="19" customFormat="1" ht="15.75" customHeight="1" x14ac:dyDescent="0.2">
      <c r="A257" s="24" t="s">
        <v>851</v>
      </c>
      <c r="B257" s="24" t="s">
        <v>851</v>
      </c>
      <c r="C257" s="24" t="s">
        <v>846</v>
      </c>
      <c r="D257" s="24" t="s">
        <v>846</v>
      </c>
      <c r="E257" s="24" t="s">
        <v>153</v>
      </c>
      <c r="F257" s="25" t="s">
        <v>982</v>
      </c>
      <c r="G257" s="25" t="s">
        <v>983</v>
      </c>
      <c r="H257" s="24" t="s">
        <v>45</v>
      </c>
      <c r="I257" s="24" t="s">
        <v>232</v>
      </c>
      <c r="J257" s="24" t="s">
        <v>318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48</v>
      </c>
      <c r="AA257" s="1" t="s">
        <v>960</v>
      </c>
      <c r="AB257" s="1" t="s">
        <v>960</v>
      </c>
      <c r="AC257" s="1" t="s">
        <v>961</v>
      </c>
      <c r="AD257" s="1" t="s">
        <v>961</v>
      </c>
      <c r="AE257" s="1" t="s">
        <v>962</v>
      </c>
      <c r="AF257" s="1" t="s">
        <v>962</v>
      </c>
      <c r="AG257" s="1" t="s">
        <v>963</v>
      </c>
      <c r="AH257" s="1" t="s">
        <v>963</v>
      </c>
      <c r="AI257" s="1" t="s">
        <v>964</v>
      </c>
      <c r="AJ257" s="1" t="s">
        <v>964</v>
      </c>
      <c r="AK257" s="22" t="s">
        <v>984</v>
      </c>
      <c r="AL257" s="22">
        <v>44937.308587962965</v>
      </c>
      <c r="AM257" s="22">
        <v>44937.358703703707</v>
      </c>
      <c r="AN257" s="1" t="s">
        <v>415</v>
      </c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</sheetData>
  <sheetProtection selectLockedCells="1" sort="0" autoFilter="0" pivotTables="0"/>
  <protectedRanges>
    <protectedRange sqref="A3:J9915" name="Range1"/>
  </protectedRanges>
  <dataConsolidate/>
  <mergeCells count="1">
    <mergeCell ref="A1:I1"/>
  </mergeCells>
  <phoneticPr fontId="0" type="noConversion"/>
  <conditionalFormatting sqref="G3:G992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7" workbookViewId="0">
      <selection activeCell="B17" sqref="B17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895</v>
      </c>
      <c r="B1" s="15" t="s">
        <v>896</v>
      </c>
      <c r="C1" s="15" t="s">
        <v>935</v>
      </c>
      <c r="D1" s="15" t="s">
        <v>968</v>
      </c>
      <c r="E1" s="15" t="s">
        <v>936</v>
      </c>
      <c r="F1" s="15" t="s">
        <v>990</v>
      </c>
      <c r="G1" s="15" t="s">
        <v>991</v>
      </c>
    </row>
    <row r="2" spans="1:7" x14ac:dyDescent="0.2">
      <c r="A2" s="15" t="s">
        <v>897</v>
      </c>
      <c r="B2" s="15" t="s">
        <v>965</v>
      </c>
      <c r="C2" s="15" t="s">
        <v>897</v>
      </c>
      <c r="D2" s="15"/>
      <c r="E2" s="15"/>
      <c r="F2" s="15"/>
      <c r="G2" s="15"/>
    </row>
    <row r="3" spans="1:7" x14ac:dyDescent="0.2">
      <c r="A3" s="15" t="s">
        <v>953</v>
      </c>
      <c r="B3" s="15" t="s">
        <v>954</v>
      </c>
      <c r="C3" s="15"/>
      <c r="D3" s="15"/>
      <c r="E3" s="15"/>
      <c r="F3" s="15"/>
      <c r="G3" s="15"/>
    </row>
    <row r="4" spans="1:7" x14ac:dyDescent="0.2">
      <c r="A4" s="15" t="s">
        <v>898</v>
      </c>
      <c r="B4" s="15" t="s">
        <v>899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904</v>
      </c>
      <c r="B1" s="27" t="s">
        <v>905</v>
      </c>
      <c r="C1" s="28" t="s">
        <v>907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906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908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0" t="s">
        <v>955</v>
      </c>
      <c r="D17" s="31"/>
      <c r="E17" s="31"/>
      <c r="F17" s="31"/>
    </row>
    <row r="18" spans="1:6" x14ac:dyDescent="0.2">
      <c r="A18" s="31"/>
      <c r="B18" s="31"/>
      <c r="C18" s="30" t="s">
        <v>956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34" sqref="C34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935</v>
      </c>
      <c r="B1" s="15" t="s">
        <v>936</v>
      </c>
      <c r="C1" s="15" t="s">
        <v>937</v>
      </c>
      <c r="D1" s="15" t="s">
        <v>938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2"/>
  <sheetViews>
    <sheetView topLeftCell="A55" workbookViewId="0">
      <selection activeCell="B52" sqref="B52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966</v>
      </c>
    </row>
    <row r="2" spans="1:2" x14ac:dyDescent="0.2">
      <c r="A2" t="s">
        <v>967</v>
      </c>
      <c r="B2" t="s">
        <v>985</v>
      </c>
    </row>
    <row r="3" spans="1:2" x14ac:dyDescent="0.2">
      <c r="A3" t="s">
        <v>968</v>
      </c>
      <c r="B3" t="s">
        <v>986</v>
      </c>
    </row>
    <row r="4" spans="1:2" x14ac:dyDescent="0.2">
      <c r="A4" t="s">
        <v>936</v>
      </c>
      <c r="B4" t="s">
        <v>987</v>
      </c>
    </row>
    <row r="5" spans="1:2" x14ac:dyDescent="0.2">
      <c r="A5" s="15" t="s">
        <v>938</v>
      </c>
      <c r="B5" s="15" t="s">
        <v>988</v>
      </c>
    </row>
    <row r="6" spans="1:2" x14ac:dyDescent="0.2">
      <c r="A6" t="s">
        <v>969</v>
      </c>
    </row>
    <row r="7" spans="1:2" x14ac:dyDescent="0.2">
      <c r="A7" t="s">
        <v>970</v>
      </c>
    </row>
    <row r="8" spans="1:2" x14ac:dyDescent="0.2">
      <c r="A8" t="s">
        <v>971</v>
      </c>
    </row>
    <row r="25" spans="1:3" x14ac:dyDescent="0.2">
      <c r="A25" s="33" t="s">
        <v>946</v>
      </c>
    </row>
    <row r="26" spans="1:3" x14ac:dyDescent="0.2">
      <c r="B26" s="15" t="s">
        <v>947</v>
      </c>
      <c r="C26" t="s">
        <v>950</v>
      </c>
    </row>
    <row r="27" spans="1:3" x14ac:dyDescent="0.2">
      <c r="B27" s="15" t="s">
        <v>948</v>
      </c>
      <c r="C27" t="s">
        <v>949</v>
      </c>
    </row>
    <row r="46" spans="1:2" x14ac:dyDescent="0.2">
      <c r="A46" s="33" t="s">
        <v>976</v>
      </c>
    </row>
    <row r="47" spans="1:2" x14ac:dyDescent="0.2">
      <c r="A47" s="15" t="s">
        <v>977</v>
      </c>
      <c r="B47">
        <v>3</v>
      </c>
    </row>
    <row r="48" spans="1:2" x14ac:dyDescent="0.2">
      <c r="A48" s="15" t="s">
        <v>978</v>
      </c>
      <c r="B48">
        <v>11</v>
      </c>
    </row>
    <row r="49" spans="1:2" x14ac:dyDescent="0.2">
      <c r="A49" s="15" t="s">
        <v>979</v>
      </c>
      <c r="B49">
        <v>255</v>
      </c>
    </row>
    <row r="50" spans="1:2" x14ac:dyDescent="0.2">
      <c r="A50" s="15" t="s">
        <v>980</v>
      </c>
      <c r="B50">
        <v>8</v>
      </c>
    </row>
    <row r="51" spans="1:2" x14ac:dyDescent="0.2">
      <c r="A51" s="15" t="s">
        <v>981</v>
      </c>
      <c r="B51">
        <v>3</v>
      </c>
    </row>
    <row r="52" spans="1:2" x14ac:dyDescent="0.2">
      <c r="A52" s="15" t="s">
        <v>992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39" t="s">
        <v>973</v>
      </c>
      <c r="B1" s="40"/>
      <c r="C1" s="41"/>
      <c r="D1" s="41"/>
      <c r="E1" s="42"/>
    </row>
    <row r="2" spans="1:5" x14ac:dyDescent="0.2">
      <c r="A2" s="43" t="s">
        <v>974</v>
      </c>
      <c r="B2" s="44"/>
      <c r="C2" s="35"/>
      <c r="D2" s="34" t="s">
        <v>975</v>
      </c>
      <c r="E2" s="36"/>
    </row>
    <row r="3" spans="1:5" x14ac:dyDescent="0.2">
      <c r="A3" s="43" t="s">
        <v>972</v>
      </c>
      <c r="B3" s="44"/>
      <c r="C3" s="48"/>
      <c r="D3" s="48"/>
      <c r="E3" s="49"/>
    </row>
    <row r="4" spans="1:5" ht="13.5" thickBot="1" x14ac:dyDescent="0.25">
      <c r="A4" s="45" t="str">
        <f>Admin!B5</f>
        <v>www.envisionengineering.com</v>
      </c>
      <c r="B4" s="46"/>
      <c r="C4" s="46"/>
      <c r="D4" s="46"/>
      <c r="E4" s="47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2023-01-11T12:01:30Z</cp:lastPrinted>
  <dcterms:created xsi:type="dcterms:W3CDTF">2000-05-08T13:10:20Z</dcterms:created>
  <dcterms:modified xsi:type="dcterms:W3CDTF">2023-01-11T13:37:07Z</dcterms:modified>
  <cp:category/>
  <cp:contentStatus/>
</cp:coreProperties>
</file>