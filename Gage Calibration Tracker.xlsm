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1.4\"/>
    </mc:Choice>
  </mc:AlternateContent>
  <xr:revisionPtr revIDLastSave="0" documentId="13_ncr:1_{136A5A53-9A5A-4612-AF17-97B9E6743985}"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GageRnR" sheetId="37" r:id="rId2"/>
    <sheet name="Calculations" sheetId="40" r:id="rId3"/>
    <sheet name="Credentials" sheetId="27" r:id="rId4"/>
    <sheet name="Lists" sheetId="28" r:id="rId5"/>
    <sheet name="Customers" sheetId="30" r:id="rId6"/>
    <sheet name="Admin" sheetId="34" r:id="rId7"/>
    <sheet name="Login" sheetId="38" r:id="rId8"/>
    <sheet name="Labels" sheetId="35" state="hidden" r:id="rId9"/>
    <sheet name="Codes" sheetId="36" r:id="rId10"/>
    <sheet name="Format" sheetId="39" r:id="rId11"/>
  </sheets>
  <functionGroups builtInGroupCount="19"/>
  <definedNames>
    <definedName name="_xlnm._FilterDatabase" localSheetId="0" hidden="1">CreatedByAlexFare!$Z$2:$AK$3</definedName>
    <definedName name="CodeCombinations" localSheetId="9">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9">Codes!$A$2:$A$7</definedName>
    <definedName name="inputCode.2" localSheetId="9">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4" i="40"/>
  <c r="B27" i="40"/>
  <c r="G17" i="40"/>
  <c r="F17" i="40"/>
  <c r="G16" i="40"/>
  <c r="F16" i="40"/>
  <c r="G15" i="40"/>
  <c r="F15" i="40"/>
  <c r="G14" i="40"/>
  <c r="F14" i="40"/>
  <c r="G13" i="40"/>
  <c r="F13" i="40"/>
  <c r="G12" i="40"/>
  <c r="F12" i="40"/>
  <c r="G11" i="40"/>
  <c r="F11" i="40"/>
  <c r="G10" i="40"/>
  <c r="F10" i="40"/>
  <c r="G9" i="40"/>
  <c r="F9" i="40"/>
  <c r="G8" i="40"/>
  <c r="F8" i="40"/>
  <c r="G7" i="40"/>
  <c r="F7" i="40"/>
  <c r="G6" i="40"/>
  <c r="F6" i="40"/>
  <c r="G5" i="40"/>
  <c r="F5" i="40"/>
  <c r="G4" i="40"/>
  <c r="F4" i="40"/>
  <c r="G3" i="40"/>
  <c r="F3" i="40"/>
  <c r="J1" i="13"/>
  <c r="I1" i="13"/>
  <c r="I13" i="40" l="1"/>
  <c r="J13" i="40"/>
  <c r="J8" i="40"/>
  <c r="I8" i="40"/>
  <c r="I3" i="40"/>
  <c r="J3" i="40"/>
  <c r="L3" i="40" l="1"/>
  <c r="B30" i="40" s="1"/>
  <c r="K3" i="40"/>
  <c r="B25" i="40" s="1"/>
  <c r="B28" i="40" s="1"/>
  <c r="B37" i="40" l="1"/>
  <c r="B38" i="40" s="1"/>
  <c r="B39" i="40" s="1"/>
</calcChain>
</file>

<file path=xl/sharedStrings.xml><?xml version="1.0" encoding="utf-8"?>
<sst xmlns="http://schemas.openxmlformats.org/spreadsheetml/2006/main" count="231" uniqueCount="206">
  <si>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</si>
  <si>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</si>
  <si>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</si>
  <si>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</si>
  <si>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</si>
  <si>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</si>
  <si>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</si>
  <si>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</si>
  <si>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</si>
  <si>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</si>
  <si>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</si>
  <si>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</si>
  <si>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</si>
  <si>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</si>
  <si>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</si>
  <si>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</si>
  <si>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</si>
  <si>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</si>
  <si>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</si>
  <si>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</si>
  <si>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</si>
  <si>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</si>
  <si>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</si>
  <si>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</si>
  <si>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</si>
  <si>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</si>
  <si>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</si>
  <si>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</si>
  <si>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</si>
  <si>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</si>
  <si>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</si>
  <si>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</si>
  <si>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</si>
  <si>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</si>
  <si>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</si>
  <si>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</si>
  <si>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</si>
  <si>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</si>
  <si>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</si>
  <si>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</si>
  <si>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</si>
  <si>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</si>
  <si>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</si>
  <si>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</si>
  <si>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</si>
  <si>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</si>
  <si>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</si>
  <si>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</si>
  <si>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</si>
  <si>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</si>
  <si>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</si>
  <si>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</si>
  <si>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</si>
  <si>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</si>
  <si>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</si>
  <si>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</si>
  <si>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</si>
  <si>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</si>
  <si>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</si>
  <si>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</si>
  <si>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</si>
  <si>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</si>
  <si>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</si>
  <si>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</si>
  <si>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</si>
  <si>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</si>
  <si>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</si>
  <si>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</si>
  <si>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</si>
  <si>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</si>
  <si>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</si>
  <si>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</si>
  <si>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</si>
  <si>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</si>
  <si>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</si>
  <si>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</si>
  <si>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</si>
  <si>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</si>
  <si>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</si>
  <si>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</si>
  <si>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</si>
  <si>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</si>
  <si>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</si>
  <si>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</si>
  <si>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</si>
  <si>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</si>
  <si>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</si>
  <si>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</si>
  <si>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</si>
  <si>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</si>
  <si>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</si>
  <si>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</si>
  <si>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</si>
  <si>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</si>
  <si>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</si>
  <si>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</si>
  <si>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</si>
  <si>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</si>
  <si>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</si>
  <si>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</si>
  <si>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</si>
  <si>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</si>
  <si>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</si>
  <si>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</si>
  <si>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</si>
  <si>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</si>
  <si>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</si>
  <si>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</si>
  <si>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</si>
  <si>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</si>
  <si>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</si>
  <si>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</si>
  <si>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</si>
  <si>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</si>
  <si>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</si>
  <si>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</si>
  <si>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</si>
  <si>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</si>
  <si>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</si>
  <si>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</si>
  <si>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</si>
  <si>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</si>
  <si>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</si>
  <si>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</si>
  <si>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</si>
  <si>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</si>
  <si>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</si>
  <si>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</si>
  <si>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</si>
  <si>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</si>
  <si>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</si>
  <si>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</si>
  <si>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</si>
  <si>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</si>
  <si>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</si>
  <si>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</si>
  <si>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</si>
  <si>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</si>
  <si>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</si>
  <si>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</si>
  <si>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</si>
  <si>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</si>
  <si>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</si>
  <si>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</si>
  <si>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</si>
  <si>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</si>
  <si>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</si>
  <si>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</si>
  <si>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</si>
  <si>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</si>
  <si>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</si>
  <si>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</si>
  <si>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</si>
  <si>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</si>
  <si>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</si>
  <si>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</si>
  <si>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</si>
  <si>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</si>
  <si>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</si>
  <si>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</si>
  <si>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</si>
  <si>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</si>
  <si>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</si>
  <si>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</si>
  <si>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</si>
  <si>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</si>
  <si>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</si>
  <si>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</si>
  <si>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</si>
  <si>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</si>
  <si>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</si>
  <si>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</si>
  <si>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</si>
  <si>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</si>
  <si>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</si>
  <si>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</si>
  <si>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</si>
  <si>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</si>
  <si>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</si>
  <si>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</si>
  <si>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</si>
  <si>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</si>
  <si>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</si>
  <si>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</si>
  <si>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</si>
  <si>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</si>
  <si>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</si>
  <si>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</si>
  <si>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</si>
  <si>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</si>
  <si>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</si>
  <si>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</si>
  <si>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</si>
  <si>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</si>
  <si>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</si>
  <si>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</si>
  <si>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</si>
  <si>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</si>
  <si>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</si>
  <si>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</si>
  <si>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</si>
  <si>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</si>
  <si>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</si>
  <si>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</si>
  <si>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</si>
  <si>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v4.1.4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</si>
</sst>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6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7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A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A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Serial#" dataDxfId="104" dataCellStyle="Normal"/>
    <tableColumn id="8" xr3:uid="{26F829FB-B90C-491D-A3CA-2F936089F7FC}" name="Owner"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B10" sqref="B10"/>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0" t="s">
        <v>0</v>
      </c>
      <c r="B1" s="51"/>
      <c r="C1" s="51"/>
      <c r="D1" s="51"/>
      <c r="E1" s="51"/>
      <c r="F1" s="51"/>
      <c r="G1" s="51"/>
      <c r="H1" s="51"/>
      <c r="I1" s="33">
        <f ca="1">TODAY()</f>
        <v>45149</v>
      </c>
      <c r="J1" s="45">
        <f ca="1">TODAY()</f>
        <v>45149</v>
      </c>
      <c r="K1" s="34"/>
      <c r="L1" s="34"/>
      <c r="M1" s="34"/>
      <c r="N1" s="34"/>
      <c r="O1" s="34"/>
      <c r="P1" s="34"/>
      <c r="Q1" s="34"/>
      <c r="R1" s="34"/>
      <c r="S1" s="34"/>
      <c r="T1" s="34"/>
      <c r="U1" s="34"/>
      <c r="V1" s="34"/>
      <c r="W1" s="34"/>
      <c r="X1" s="34"/>
      <c r="Y1" s="34"/>
      <c r="Z1" s="34" t="s">
        <v>205</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200</v>
      </c>
      <c r="L2" s="31" t="s">
        <v>201</v>
      </c>
      <c r="M2" s="30" t="s">
        <v>204</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115</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x14ac:dyDescent="0.2">
      <c r="E1" s="52" t="s">
        <v>110</v>
      </c>
      <c r="F1" s="53"/>
      <c r="G1" s="53"/>
      <c r="H1" s="53"/>
      <c r="I1" s="53"/>
      <c r="J1" s="52" t="s">
        <v>111</v>
      </c>
      <c r="K1" s="53"/>
      <c r="L1" s="53"/>
      <c r="M1" s="53"/>
      <c r="N1" s="53"/>
      <c r="O1" s="52" t="s">
        <v>112</v>
      </c>
      <c r="P1" s="53"/>
      <c r="Q1" s="53"/>
      <c r="R1" s="53"/>
      <c r="S1" s="53"/>
      <c r="U1" s="52" t="s">
        <v>110</v>
      </c>
      <c r="V1" s="53"/>
      <c r="W1" s="53"/>
      <c r="X1" s="53"/>
      <c r="Y1" s="53"/>
      <c r="Z1" s="52" t="s">
        <v>111</v>
      </c>
      <c r="AA1" s="53"/>
      <c r="AB1" s="53"/>
      <c r="AC1" s="53"/>
      <c r="AD1" s="53"/>
      <c r="AE1" s="52" t="s">
        <v>112</v>
      </c>
      <c r="AF1" s="53"/>
      <c r="AG1" s="53"/>
      <c r="AH1" s="53"/>
      <c r="AI1" s="53"/>
    </row>
    <row r="2" spans="1:52" ht="28.5" customHeight="1" x14ac:dyDescent="0.2">
      <c r="A2" s="40" t="s">
        <v>116</v>
      </c>
      <c r="B2" s="40" t="s">
        <v>2</v>
      </c>
      <c r="C2" s="40"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5" t="s">
        <v>173</v>
      </c>
      <c r="B1" s="55" t="s">
        <v>174</v>
      </c>
      <c r="C1" s="55" t="s">
        <v>175</v>
      </c>
      <c r="D1" s="55"/>
      <c r="E1" s="55"/>
      <c r="F1" s="55" t="s">
        <v>176</v>
      </c>
      <c r="G1" s="55" t="s">
        <v>177</v>
      </c>
      <c r="K1" s="58" t="s">
        <v>181</v>
      </c>
      <c r="L1" s="58" t="s">
        <v>183</v>
      </c>
    </row>
    <row r="2" spans="1:51" x14ac:dyDescent="0.2">
      <c r="A2" s="55"/>
      <c r="B2" s="55"/>
      <c r="C2" s="40">
        <v>1</v>
      </c>
      <c r="D2" s="40">
        <v>2</v>
      </c>
      <c r="E2" s="40">
        <v>3</v>
      </c>
      <c r="F2" s="55"/>
      <c r="G2" s="55"/>
      <c r="I2" s="6" t="s">
        <v>176</v>
      </c>
      <c r="J2" s="6" t="s">
        <v>177</v>
      </c>
      <c r="K2" s="58"/>
      <c r="L2" s="58"/>
    </row>
    <row r="3" spans="1:51" x14ac:dyDescent="0.2">
      <c r="A3" s="54">
        <v>1</v>
      </c>
      <c r="B3" s="40">
        <v>1</v>
      </c>
      <c r="C3" s="48">
        <v>1</v>
      </c>
      <c r="D3" s="48">
        <v>1</v>
      </c>
      <c r="E3" s="48">
        <v>1</v>
      </c>
      <c r="F3" s="49">
        <f>MAX(C3:E3)-MIN(C3:E3)</f>
        <v>0</v>
      </c>
      <c r="G3" s="40">
        <f>(C3+D3+E3)/3</f>
        <v>1</v>
      </c>
      <c r="H3" s="56" t="s">
        <v>178</v>
      </c>
      <c r="I3" s="54">
        <f>(F3+F4+F5+F6+F7)/5</f>
        <v>0.24000000000000005</v>
      </c>
      <c r="J3" s="54">
        <f>(G3+G4+G5+G6+G7)/5</f>
        <v>0.95333333333333337</v>
      </c>
      <c r="K3" s="40">
        <f>(I3+I8+I13)/3</f>
        <v>0.1066666666666667</v>
      </c>
      <c r="L3" s="40">
        <f>MAX(J3:J17)-MIN(J3:J17)</f>
        <v>7.3333333333333472E-2</v>
      </c>
      <c r="AQ3" t="s">
        <v>163</v>
      </c>
      <c r="AR3" t="s">
        <v>163</v>
      </c>
      <c r="AS3" t="s">
        <v>163</v>
      </c>
      <c r="AT3" t="s">
        <v>163</v>
      </c>
      <c r="AV3" t="s">
        <v>163</v>
      </c>
      <c r="AW3" t="s">
        <v>163</v>
      </c>
      <c r="AX3" t="s">
        <v>163</v>
      </c>
      <c r="AY3" t="s">
        <v>163</v>
      </c>
    </row>
    <row r="4" spans="1:51" x14ac:dyDescent="0.2">
      <c r="A4" s="54"/>
      <c r="B4" s="40">
        <v>2</v>
      </c>
      <c r="C4" s="48">
        <v>1.1000000000000001</v>
      </c>
      <c r="D4" s="48">
        <v>1.1000000000000001</v>
      </c>
      <c r="E4" s="48">
        <v>1</v>
      </c>
      <c r="F4" s="49">
        <f t="shared" ref="F4:F17" si="0">MAX(C4:E4)-MIN(C4:E4)</f>
        <v>0.10000000000000009</v>
      </c>
      <c r="G4" s="40">
        <f t="shared" ref="G4:G17" si="1">(C4+D4+E4)/3</f>
        <v>1.0666666666666667</v>
      </c>
      <c r="H4" s="57"/>
      <c r="I4" s="54"/>
      <c r="J4" s="54"/>
      <c r="K4" s="40"/>
      <c r="L4" s="40"/>
    </row>
    <row r="5" spans="1:51" x14ac:dyDescent="0.2">
      <c r="A5" s="54"/>
      <c r="B5" s="40">
        <v>3</v>
      </c>
      <c r="C5" s="48">
        <v>1</v>
      </c>
      <c r="D5" s="48">
        <v>1</v>
      </c>
      <c r="E5" s="48">
        <v>1.1000000000000001</v>
      </c>
      <c r="F5" s="49">
        <f t="shared" si="0"/>
        <v>0.10000000000000009</v>
      </c>
      <c r="G5" s="40">
        <f t="shared" si="1"/>
        <v>1.0333333333333334</v>
      </c>
      <c r="H5" s="57"/>
      <c r="I5" s="54"/>
      <c r="J5" s="54"/>
      <c r="K5" s="40"/>
      <c r="L5" s="40"/>
    </row>
    <row r="6" spans="1:51" x14ac:dyDescent="0.2">
      <c r="A6" s="54"/>
      <c r="B6" s="40">
        <v>4</v>
      </c>
      <c r="C6" s="48">
        <v>1</v>
      </c>
      <c r="D6" s="48">
        <v>1</v>
      </c>
      <c r="E6" s="48">
        <v>1</v>
      </c>
      <c r="F6" s="49">
        <f t="shared" si="0"/>
        <v>0</v>
      </c>
      <c r="G6" s="40">
        <f t="shared" si="1"/>
        <v>1</v>
      </c>
      <c r="H6" s="57"/>
      <c r="I6" s="54"/>
      <c r="J6" s="54"/>
      <c r="K6" s="40"/>
      <c r="L6" s="40"/>
    </row>
    <row r="7" spans="1:51" x14ac:dyDescent="0.2">
      <c r="A7" s="54"/>
      <c r="B7" s="40">
        <v>5</v>
      </c>
      <c r="C7" s="48">
        <v>1</v>
      </c>
      <c r="D7" s="48">
        <v>1</v>
      </c>
      <c r="E7" s="48">
        <v>0</v>
      </c>
      <c r="F7" s="49">
        <f t="shared" si="0"/>
        <v>1</v>
      </c>
      <c r="G7" s="40">
        <f t="shared" si="1"/>
        <v>0.66666666666666663</v>
      </c>
      <c r="H7" s="57"/>
      <c r="I7" s="54"/>
      <c r="J7" s="54"/>
      <c r="K7" s="40"/>
      <c r="L7" s="40"/>
    </row>
    <row r="8" spans="1:51" x14ac:dyDescent="0.2">
      <c r="A8" s="54">
        <v>2</v>
      </c>
      <c r="B8" s="40">
        <v>1</v>
      </c>
      <c r="C8" s="48">
        <v>1</v>
      </c>
      <c r="D8" s="48">
        <v>1.1000000000000001</v>
      </c>
      <c r="E8" s="48">
        <v>1</v>
      </c>
      <c r="F8" s="49">
        <f t="shared" si="0"/>
        <v>0.10000000000000009</v>
      </c>
      <c r="G8" s="40">
        <f t="shared" si="1"/>
        <v>1.0333333333333334</v>
      </c>
      <c r="H8" s="56" t="s">
        <v>179</v>
      </c>
      <c r="I8" s="54">
        <f>(F8+F9+F10+F11+F12)/5</f>
        <v>8.0000000000000071E-2</v>
      </c>
      <c r="J8" s="54">
        <f>(G8+G9+G10+G11+G12)/5</f>
        <v>1.0266666666666668</v>
      </c>
      <c r="K8" s="40"/>
      <c r="L8" s="40"/>
    </row>
    <row r="9" spans="1:51" x14ac:dyDescent="0.2">
      <c r="A9" s="54"/>
      <c r="B9" s="40">
        <v>2</v>
      </c>
      <c r="C9" s="48">
        <v>1</v>
      </c>
      <c r="D9" s="48">
        <v>1.1000000000000001</v>
      </c>
      <c r="E9" s="48">
        <v>1</v>
      </c>
      <c r="F9" s="49">
        <f t="shared" si="0"/>
        <v>0.10000000000000009</v>
      </c>
      <c r="G9" s="40">
        <f t="shared" si="1"/>
        <v>1.0333333333333334</v>
      </c>
      <c r="H9" s="57"/>
      <c r="I9" s="54"/>
      <c r="J9" s="54"/>
      <c r="K9" s="40"/>
      <c r="L9" s="40"/>
    </row>
    <row r="10" spans="1:51" x14ac:dyDescent="0.2">
      <c r="A10" s="54"/>
      <c r="B10" s="40">
        <v>3</v>
      </c>
      <c r="C10" s="48">
        <v>1</v>
      </c>
      <c r="D10" s="48">
        <v>1.1000000000000001</v>
      </c>
      <c r="E10" s="48">
        <v>1</v>
      </c>
      <c r="F10" s="49">
        <f t="shared" si="0"/>
        <v>0.10000000000000009</v>
      </c>
      <c r="G10" s="40">
        <f t="shared" si="1"/>
        <v>1.0333333333333334</v>
      </c>
      <c r="H10" s="57"/>
      <c r="I10" s="54"/>
      <c r="J10" s="54"/>
      <c r="K10" s="40"/>
      <c r="L10" s="40"/>
    </row>
    <row r="11" spans="1:51" x14ac:dyDescent="0.2">
      <c r="A11" s="54"/>
      <c r="B11" s="40">
        <v>4</v>
      </c>
      <c r="C11" s="48">
        <v>1</v>
      </c>
      <c r="D11" s="48">
        <v>1</v>
      </c>
      <c r="E11" s="48">
        <v>1</v>
      </c>
      <c r="F11" s="49">
        <f t="shared" si="0"/>
        <v>0</v>
      </c>
      <c r="G11" s="40">
        <f t="shared" si="1"/>
        <v>1</v>
      </c>
      <c r="H11" s="57"/>
      <c r="I11" s="54"/>
      <c r="J11" s="54"/>
      <c r="K11" s="40"/>
      <c r="L11" s="40"/>
    </row>
    <row r="12" spans="1:51" x14ac:dyDescent="0.2">
      <c r="A12" s="54"/>
      <c r="B12" s="40">
        <v>5</v>
      </c>
      <c r="C12" s="48">
        <v>1</v>
      </c>
      <c r="D12" s="48">
        <v>1</v>
      </c>
      <c r="E12" s="48">
        <v>1.1000000000000001</v>
      </c>
      <c r="F12" s="49">
        <f t="shared" si="0"/>
        <v>0.10000000000000009</v>
      </c>
      <c r="G12" s="40">
        <f t="shared" si="1"/>
        <v>1.0333333333333334</v>
      </c>
      <c r="H12" s="57"/>
      <c r="I12" s="54"/>
      <c r="J12" s="54"/>
      <c r="K12" s="40"/>
      <c r="L12" s="40"/>
    </row>
    <row r="13" spans="1:51" x14ac:dyDescent="0.2">
      <c r="A13" s="54">
        <v>3</v>
      </c>
      <c r="B13" s="40">
        <v>1</v>
      </c>
      <c r="C13" s="48">
        <v>1</v>
      </c>
      <c r="D13" s="48">
        <v>1</v>
      </c>
      <c r="E13" s="48">
        <v>1</v>
      </c>
      <c r="F13" s="49">
        <f t="shared" si="0"/>
        <v>0</v>
      </c>
      <c r="G13" s="40">
        <f t="shared" si="1"/>
        <v>1</v>
      </c>
      <c r="H13" s="56" t="s">
        <v>180</v>
      </c>
      <c r="I13" s="54">
        <f>(F13+F14+F15+F16+F17)/5</f>
        <v>0</v>
      </c>
      <c r="J13" s="54">
        <f>(G13+G14+G15+G16+G17)/5</f>
        <v>1</v>
      </c>
      <c r="K13" s="40"/>
      <c r="L13" s="40"/>
    </row>
    <row r="14" spans="1:51" x14ac:dyDescent="0.2">
      <c r="A14" s="54"/>
      <c r="B14" s="40">
        <v>2</v>
      </c>
      <c r="C14" s="48">
        <v>1</v>
      </c>
      <c r="D14" s="48">
        <v>1</v>
      </c>
      <c r="E14" s="48">
        <v>1</v>
      </c>
      <c r="F14" s="49">
        <f t="shared" si="0"/>
        <v>0</v>
      </c>
      <c r="G14" s="40">
        <f t="shared" si="1"/>
        <v>1</v>
      </c>
      <c r="H14" s="57"/>
      <c r="I14" s="54"/>
      <c r="J14" s="54"/>
      <c r="K14" s="40"/>
      <c r="L14" s="40"/>
    </row>
    <row r="15" spans="1:51" x14ac:dyDescent="0.2">
      <c r="A15" s="54"/>
      <c r="B15" s="40">
        <v>3</v>
      </c>
      <c r="C15" s="48">
        <v>1</v>
      </c>
      <c r="D15" s="48">
        <v>1</v>
      </c>
      <c r="E15" s="48">
        <v>1</v>
      </c>
      <c r="F15" s="49">
        <f t="shared" si="0"/>
        <v>0</v>
      </c>
      <c r="G15" s="40">
        <f t="shared" si="1"/>
        <v>1</v>
      </c>
      <c r="H15" s="57"/>
      <c r="I15" s="54"/>
      <c r="J15" s="54"/>
      <c r="K15" s="40"/>
      <c r="L15" s="40"/>
    </row>
    <row r="16" spans="1:51" x14ac:dyDescent="0.2">
      <c r="A16" s="54"/>
      <c r="B16" s="40">
        <v>4</v>
      </c>
      <c r="C16" s="48">
        <v>1</v>
      </c>
      <c r="D16" s="48">
        <v>1</v>
      </c>
      <c r="E16" s="48">
        <v>1</v>
      </c>
      <c r="F16" s="49">
        <f t="shared" si="0"/>
        <v>0</v>
      </c>
      <c r="G16" s="40">
        <f t="shared" si="1"/>
        <v>1</v>
      </c>
      <c r="H16" s="57"/>
      <c r="I16" s="54"/>
      <c r="J16" s="54"/>
      <c r="K16" s="40"/>
      <c r="L16" s="40"/>
    </row>
    <row r="17" spans="1:12" x14ac:dyDescent="0.2">
      <c r="A17" s="54"/>
      <c r="B17" s="40">
        <v>5</v>
      </c>
      <c r="C17" s="48">
        <v>1</v>
      </c>
      <c r="D17" s="48">
        <v>1</v>
      </c>
      <c r="E17" s="48">
        <v>1</v>
      </c>
      <c r="F17" s="49">
        <f t="shared" si="0"/>
        <v>0</v>
      </c>
      <c r="G17" s="40">
        <f t="shared" si="1"/>
        <v>1</v>
      </c>
      <c r="H17" s="57"/>
      <c r="I17" s="54"/>
      <c r="J17" s="54"/>
      <c r="K17" s="40"/>
      <c r="L17" s="40"/>
    </row>
    <row r="25" spans="1:12" x14ac:dyDescent="0.2">
      <c r="A25" s="46" t="s">
        <v>182</v>
      </c>
      <c r="B25" s="40">
        <f>K3</f>
        <v>0.1066666666666667</v>
      </c>
    </row>
    <row r="26" spans="1:12" x14ac:dyDescent="0.2">
      <c r="A26" s="46" t="s">
        <v>184</v>
      </c>
      <c r="B26" s="40">
        <v>1.708</v>
      </c>
    </row>
    <row r="27" spans="1:12" x14ac:dyDescent="0.2">
      <c r="A27" s="46" t="s">
        <v>190</v>
      </c>
      <c r="B27">
        <f>1/B26</f>
        <v>0.58548009367681497</v>
      </c>
    </row>
    <row r="28" spans="1:12" x14ac:dyDescent="0.2">
      <c r="A28" s="46" t="s">
        <v>185</v>
      </c>
      <c r="B28" s="40">
        <f>B25*B27</f>
        <v>6.245120999219362E-2</v>
      </c>
    </row>
    <row r="29" spans="1:12" x14ac:dyDescent="0.2">
      <c r="A29" s="40"/>
      <c r="B29" s="40"/>
    </row>
    <row r="30" spans="1:12" x14ac:dyDescent="0.2">
      <c r="A30" s="46" t="s">
        <v>186</v>
      </c>
      <c r="B30" s="40">
        <f>L3</f>
        <v>7.3333333333333472E-2</v>
      </c>
    </row>
    <row r="31" spans="1:12" x14ac:dyDescent="0.2">
      <c r="A31" s="46" t="s">
        <v>187</v>
      </c>
      <c r="B31" s="40">
        <v>5</v>
      </c>
    </row>
    <row r="32" spans="1:12" x14ac:dyDescent="0.2">
      <c r="A32" s="46" t="s">
        <v>188</v>
      </c>
      <c r="B32" s="40">
        <v>3</v>
      </c>
    </row>
    <row r="33" spans="1:4" x14ac:dyDescent="0.2">
      <c r="A33" s="46" t="s">
        <v>184</v>
      </c>
      <c r="B33" s="40">
        <v>2.3370000000000002</v>
      </c>
    </row>
    <row r="34" spans="1:4" x14ac:dyDescent="0.2">
      <c r="A34" s="46" t="s">
        <v>189</v>
      </c>
      <c r="B34" s="40">
        <f>1/B33</f>
        <v>0.42789901583226353</v>
      </c>
    </row>
    <row r="35" spans="1:4" x14ac:dyDescent="0.2">
      <c r="A35" s="40"/>
      <c r="B35" s="40"/>
    </row>
    <row r="36" spans="1:4" x14ac:dyDescent="0.2">
      <c r="A36" s="40"/>
      <c r="B36" s="40"/>
    </row>
    <row r="37" spans="1:4" x14ac:dyDescent="0.2">
      <c r="A37" s="46" t="s">
        <v>191</v>
      </c>
      <c r="B37" s="40">
        <f>SQRT((B30*B34)^2)-((B28)^2)/(B31*B32)</f>
        <v>3.1119250919066782E-2</v>
      </c>
      <c r="C37" s="40"/>
      <c r="D37" s="40"/>
    </row>
    <row r="38" spans="1:4" x14ac:dyDescent="0.2">
      <c r="A38" s="46" t="s">
        <v>192</v>
      </c>
      <c r="B38" s="40">
        <f>SQRT((B28)^2)+(B37)^2</f>
        <v>6.3419617769957456E-2</v>
      </c>
      <c r="C38" s="40"/>
      <c r="D38" s="40"/>
    </row>
    <row r="39" spans="1:4" x14ac:dyDescent="0.2">
      <c r="A39" s="46" t="s">
        <v>199</v>
      </c>
      <c r="B39" s="47">
        <f>B38</f>
        <v>6.3419617769957456E-2</v>
      </c>
    </row>
    <row r="43" spans="1:4" x14ac:dyDescent="0.2">
      <c r="B43" s="6" t="s">
        <v>194</v>
      </c>
      <c r="C43" s="6" t="s">
        <v>196</v>
      </c>
    </row>
    <row r="44" spans="1:4" x14ac:dyDescent="0.2">
      <c r="B44" s="6" t="s">
        <v>193</v>
      </c>
      <c r="C44" s="6" t="s">
        <v>197</v>
      </c>
    </row>
    <row r="45" spans="1:4" x14ac:dyDescent="0.2">
      <c r="A45" s="46"/>
      <c r="B45" s="6" t="s">
        <v>195</v>
      </c>
      <c r="C45" s="6" t="s">
        <v>198</v>
      </c>
      <c r="D45" s="40"/>
    </row>
    <row r="46" spans="1:4" x14ac:dyDescent="0.2">
      <c r="A46" s="46"/>
      <c r="B46" s="40"/>
      <c r="C46" s="40"/>
      <c r="D46" s="40"/>
    </row>
    <row r="47" spans="1:4" x14ac:dyDescent="0.2">
      <c r="A47" s="46"/>
    </row>
    <row r="48" spans="1:4" x14ac:dyDescent="0.2">
      <c r="A48" s="46"/>
      <c r="C48" s="59"/>
    </row>
    <row r="49" spans="1:3" x14ac:dyDescent="0.2">
      <c r="A49" s="46"/>
      <c r="C49" s="59"/>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67</v>
      </c>
      <c r="B1" s="6" t="s">
        <v>68</v>
      </c>
      <c r="C1" s="6" t="s">
        <v>69</v>
      </c>
      <c r="D1" s="6" t="s">
        <v>70</v>
      </c>
      <c r="E1" s="6" t="s">
        <v>71</v>
      </c>
      <c r="F1" s="6" t="s">
        <v>72</v>
      </c>
      <c r="G1" s="6" t="s">
        <v>73</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78</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80</v>
      </c>
      <c r="D1" s="24" t="s">
        <v>81</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M51" sqref="M51"/>
    </sheetView>
  </sheetViews>
  <sheetFormatPr defaultRowHeight="12.75" x14ac:dyDescent="0.2"/>
  <cols>
    <col min="1" max="1" width="19.42578125" customWidth="1"/>
    <col min="2" max="2" width="11.28515625" bestFit="1" customWidth="1"/>
  </cols>
  <sheetData>
    <row r="1" spans="1:2" ht="15.75" x14ac:dyDescent="0.25">
      <c r="A1" s="25" t="s">
        <v>107</v>
      </c>
    </row>
    <row r="2" spans="1:2" x14ac:dyDescent="0.2">
      <c r="A2" t="s">
        <v>82</v>
      </c>
    </row>
    <row r="3" spans="1:2" x14ac:dyDescent="0.2">
      <c r="A3" t="s">
        <v>70</v>
      </c>
    </row>
    <row r="4" spans="1:2" x14ac:dyDescent="0.2">
      <c r="A4" t="s">
        <v>71</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106</v>
      </c>
    </row>
    <row r="47" spans="1:2" x14ac:dyDescent="0.2">
      <c r="A47" s="6" t="s">
        <v>89</v>
      </c>
    </row>
    <row r="48" spans="1:2" x14ac:dyDescent="0.2">
      <c r="A48" s="6" t="s">
        <v>90</v>
      </c>
      <c r="B48">
        <v>1</v>
      </c>
    </row>
    <row r="49" spans="1:5" x14ac:dyDescent="0.2">
      <c r="A49" s="6" t="s">
        <v>91</v>
      </c>
    </row>
    <row r="50" spans="1:5" x14ac:dyDescent="0.2">
      <c r="A50" s="6" t="s">
        <v>92</v>
      </c>
    </row>
    <row r="51" spans="1:5" x14ac:dyDescent="0.2">
      <c r="A51" s="6" t="s">
        <v>93</v>
      </c>
    </row>
    <row r="52" spans="1:5" x14ac:dyDescent="0.2">
      <c r="A52" s="6" t="s">
        <v>108</v>
      </c>
      <c r="B52" t="s">
        <v>74</v>
      </c>
    </row>
    <row r="53" spans="1:5" x14ac:dyDescent="0.2">
      <c r="A53" s="6" t="s">
        <v>99</v>
      </c>
    </row>
    <row r="54" spans="1:5" x14ac:dyDescent="0.2">
      <c r="A54" s="6" t="s">
        <v>164</v>
      </c>
    </row>
    <row r="55" spans="1:5" x14ac:dyDescent="0.2">
      <c r="A55" s="6" t="s">
        <v>100</v>
      </c>
      <c r="B55">
        <v>2</v>
      </c>
      <c r="C55" s="60" t="s">
        <v>105</v>
      </c>
      <c r="D55" s="60"/>
      <c r="E55" s="60"/>
    </row>
    <row r="56" spans="1:5" x14ac:dyDescent="0.2">
      <c r="A56" s="6" t="s">
        <v>101</v>
      </c>
      <c r="C56" s="60" t="s">
        <v>105</v>
      </c>
      <c r="D56" s="60"/>
      <c r="E56" s="60"/>
    </row>
    <row r="57" spans="1:5" x14ac:dyDescent="0.2">
      <c r="A57" s="6" t="s">
        <v>98</v>
      </c>
      <c r="C57" s="43" t="s">
        <v>167</v>
      </c>
      <c r="D57" s="44"/>
      <c r="E57" s="44"/>
    </row>
    <row r="58" spans="1:5" hidden="1" x14ac:dyDescent="0.2">
      <c r="A58" s="6"/>
      <c r="C58" s="44"/>
      <c r="D58" s="44"/>
      <c r="E58" s="44"/>
    </row>
    <row r="59" spans="1:5" x14ac:dyDescent="0.2">
      <c r="A59" s="6" t="s">
        <v>165</v>
      </c>
      <c r="C59" s="60" t="s">
        <v>105</v>
      </c>
      <c r="D59" s="60"/>
      <c r="E59" s="60"/>
    </row>
    <row r="60" spans="1:5" x14ac:dyDescent="0.2">
      <c r="A60" s="6" t="s">
        <v>168</v>
      </c>
      <c r="C60" s="60" t="s">
        <v>105</v>
      </c>
      <c r="D60" s="60"/>
      <c r="E60" s="60"/>
    </row>
    <row r="61" spans="1:5" x14ac:dyDescent="0.2">
      <c r="A61" s="6" t="s">
        <v>169</v>
      </c>
      <c r="C61" s="60" t="s">
        <v>170</v>
      </c>
      <c r="D61" s="60"/>
      <c r="E61" s="60"/>
    </row>
    <row r="62" spans="1:5" x14ac:dyDescent="0.2">
      <c r="A62" s="6" t="s">
        <v>202</v>
      </c>
      <c r="C62" s="60" t="s">
        <v>203</v>
      </c>
      <c r="D62" s="60"/>
      <c r="E62" s="60"/>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1" t="s">
        <v>94</v>
      </c>
      <c r="B1" s="62"/>
      <c r="C1" s="63"/>
      <c r="D1" s="63"/>
      <c r="E1" s="64"/>
    </row>
    <row r="2" spans="1:5" x14ac:dyDescent="0.2">
      <c r="A2" s="65" t="s">
        <v>95</v>
      </c>
      <c r="B2" s="66"/>
      <c r="C2" s="19"/>
      <c r="D2" s="18" t="s">
        <v>96</v>
      </c>
      <c r="E2" s="20"/>
    </row>
    <row r="3" spans="1:5" x14ac:dyDescent="0.2">
      <c r="A3" s="65" t="s">
        <v>97</v>
      </c>
      <c r="B3" s="66"/>
      <c r="C3" s="70"/>
      <c r="D3" s="70"/>
      <c r="E3" s="71"/>
    </row>
    <row r="4" spans="1:5" ht="13.5" thickBot="1" x14ac:dyDescent="0.25">
      <c r="A4" s="67">
        <f>Admin!B5</f>
        <v>0</v>
      </c>
      <c r="B4" s="68"/>
      <c r="C4" s="68"/>
      <c r="D4" s="68"/>
      <c r="E4" s="6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67</v>
      </c>
      <c r="B1" s="6" t="s">
        <v>68</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sqref="A1:L18"/>
    </sheetView>
  </sheetViews>
  <sheetFormatPr defaultRowHeight="12.75" x14ac:dyDescent="0.2"/>
  <sheetData>
    <row r="1" spans="1:12" ht="17.25" customHeight="1" x14ac:dyDescent="0.2">
      <c r="A1" s="72" t="s">
        <v>172</v>
      </c>
      <c r="B1" s="72"/>
      <c r="C1" s="72"/>
      <c r="D1" s="72"/>
      <c r="E1" s="72"/>
      <c r="F1" s="72"/>
      <c r="G1" s="72"/>
      <c r="H1" s="72"/>
      <c r="I1" s="72"/>
      <c r="J1" s="72"/>
      <c r="K1" s="72"/>
      <c r="L1" s="72"/>
    </row>
    <row r="2" spans="1:12" ht="12.75" customHeight="1" x14ac:dyDescent="0.2">
      <c r="A2" s="72"/>
      <c r="B2" s="72"/>
      <c r="C2" s="72"/>
      <c r="D2" s="72"/>
      <c r="E2" s="72"/>
      <c r="F2" s="72"/>
      <c r="G2" s="72"/>
      <c r="H2" s="72"/>
      <c r="I2" s="72"/>
      <c r="J2" s="72"/>
      <c r="K2" s="72"/>
      <c r="L2" s="72"/>
    </row>
    <row r="3" spans="1:12" ht="12.75" customHeight="1" x14ac:dyDescent="0.2">
      <c r="A3" s="72"/>
      <c r="B3" s="72"/>
      <c r="C3" s="72"/>
      <c r="D3" s="72"/>
      <c r="E3" s="72"/>
      <c r="F3" s="72"/>
      <c r="G3" s="72"/>
      <c r="H3" s="72"/>
      <c r="I3" s="72"/>
      <c r="J3" s="72"/>
      <c r="K3" s="72"/>
      <c r="L3" s="72"/>
    </row>
    <row r="4" spans="1:12" ht="12.75" customHeight="1" x14ac:dyDescent="0.2">
      <c r="A4" s="72"/>
      <c r="B4" s="72"/>
      <c r="C4" s="72"/>
      <c r="D4" s="72"/>
      <c r="E4" s="72"/>
      <c r="F4" s="72"/>
      <c r="G4" s="72"/>
      <c r="H4" s="72"/>
      <c r="I4" s="72"/>
      <c r="J4" s="72"/>
      <c r="K4" s="72"/>
      <c r="L4" s="72"/>
    </row>
    <row r="5" spans="1:12" ht="12.75" customHeight="1" x14ac:dyDescent="0.2">
      <c r="A5" s="72"/>
      <c r="B5" s="72"/>
      <c r="C5" s="72"/>
      <c r="D5" s="72"/>
      <c r="E5" s="72"/>
      <c r="F5" s="72"/>
      <c r="G5" s="72"/>
      <c r="H5" s="72"/>
      <c r="I5" s="72"/>
      <c r="J5" s="72"/>
      <c r="K5" s="72"/>
      <c r="L5" s="72"/>
    </row>
    <row r="6" spans="1:12" ht="12.75" customHeight="1" x14ac:dyDescent="0.2">
      <c r="A6" s="72"/>
      <c r="B6" s="72"/>
      <c r="C6" s="72"/>
      <c r="D6" s="72"/>
      <c r="E6" s="72"/>
      <c r="F6" s="72"/>
      <c r="G6" s="72"/>
      <c r="H6" s="72"/>
      <c r="I6" s="72"/>
      <c r="J6" s="72"/>
      <c r="K6" s="72"/>
      <c r="L6" s="72"/>
    </row>
    <row r="7" spans="1:12" ht="12.75" customHeight="1" x14ac:dyDescent="0.2">
      <c r="A7" s="72"/>
      <c r="B7" s="72"/>
      <c r="C7" s="72"/>
      <c r="D7" s="72"/>
      <c r="E7" s="72"/>
      <c r="F7" s="72"/>
      <c r="G7" s="72"/>
      <c r="H7" s="72"/>
      <c r="I7" s="72"/>
      <c r="J7" s="72"/>
      <c r="K7" s="72"/>
      <c r="L7" s="72"/>
    </row>
    <row r="8" spans="1:12" ht="12.75" customHeight="1" x14ac:dyDescent="0.2">
      <c r="A8" s="72"/>
      <c r="B8" s="72"/>
      <c r="C8" s="72"/>
      <c r="D8" s="72"/>
      <c r="E8" s="72"/>
      <c r="F8" s="72"/>
      <c r="G8" s="72"/>
      <c r="H8" s="72"/>
      <c r="I8" s="72"/>
      <c r="J8" s="72"/>
      <c r="K8" s="72"/>
      <c r="L8" s="72"/>
    </row>
    <row r="9" spans="1:12" ht="12.75" customHeight="1" x14ac:dyDescent="0.2">
      <c r="A9" s="72"/>
      <c r="B9" s="72"/>
      <c r="C9" s="72"/>
      <c r="D9" s="72"/>
      <c r="E9" s="72"/>
      <c r="F9" s="72"/>
      <c r="G9" s="72"/>
      <c r="H9" s="72"/>
      <c r="I9" s="72"/>
      <c r="J9" s="72"/>
      <c r="K9" s="72"/>
      <c r="L9" s="72"/>
    </row>
    <row r="10" spans="1:12" ht="12.75" customHeight="1" x14ac:dyDescent="0.2">
      <c r="A10" s="72"/>
      <c r="B10" s="72"/>
      <c r="C10" s="72"/>
      <c r="D10" s="72"/>
      <c r="E10" s="72"/>
      <c r="F10" s="72"/>
      <c r="G10" s="72"/>
      <c r="H10" s="72"/>
      <c r="I10" s="72"/>
      <c r="J10" s="72"/>
      <c r="K10" s="72"/>
      <c r="L10" s="72"/>
    </row>
    <row r="11" spans="1:12" ht="12.75" customHeight="1" x14ac:dyDescent="0.2">
      <c r="A11" s="72"/>
      <c r="B11" s="72"/>
      <c r="C11" s="72"/>
      <c r="D11" s="72"/>
      <c r="E11" s="72"/>
      <c r="F11" s="72"/>
      <c r="G11" s="72"/>
      <c r="H11" s="72"/>
      <c r="I11" s="72"/>
      <c r="J11" s="72"/>
      <c r="K11" s="72"/>
      <c r="L11" s="72"/>
    </row>
    <row r="12" spans="1:12" ht="12.75" customHeight="1" x14ac:dyDescent="0.2">
      <c r="A12" s="72"/>
      <c r="B12" s="72"/>
      <c r="C12" s="72"/>
      <c r="D12" s="72"/>
      <c r="E12" s="72"/>
      <c r="F12" s="72"/>
      <c r="G12" s="72"/>
      <c r="H12" s="72"/>
      <c r="I12" s="72"/>
      <c r="J12" s="72"/>
      <c r="K12" s="72"/>
      <c r="L12" s="72"/>
    </row>
    <row r="13" spans="1:12" ht="12.75" customHeight="1" x14ac:dyDescent="0.2">
      <c r="A13" s="72"/>
      <c r="B13" s="72"/>
      <c r="C13" s="72"/>
      <c r="D13" s="72"/>
      <c r="E13" s="72"/>
      <c r="F13" s="72"/>
      <c r="G13" s="72"/>
      <c r="H13" s="72"/>
      <c r="I13" s="72"/>
      <c r="J13" s="72"/>
      <c r="K13" s="72"/>
      <c r="L13" s="72"/>
    </row>
    <row r="14" spans="1:12" x14ac:dyDescent="0.2">
      <c r="A14" s="72"/>
      <c r="B14" s="72"/>
      <c r="C14" s="72"/>
      <c r="D14" s="72"/>
      <c r="E14" s="72"/>
      <c r="F14" s="72"/>
      <c r="G14" s="72"/>
      <c r="H14" s="72"/>
      <c r="I14" s="72"/>
      <c r="J14" s="72"/>
      <c r="K14" s="72"/>
      <c r="L14" s="72"/>
    </row>
    <row r="15" spans="1:12" x14ac:dyDescent="0.2">
      <c r="A15" s="72"/>
      <c r="B15" s="72"/>
      <c r="C15" s="72"/>
      <c r="D15" s="72"/>
      <c r="E15" s="72"/>
      <c r="F15" s="72"/>
      <c r="G15" s="72"/>
      <c r="H15" s="72"/>
      <c r="I15" s="72"/>
      <c r="J15" s="72"/>
      <c r="K15" s="72"/>
      <c r="L15" s="72"/>
    </row>
    <row r="16" spans="1:12" x14ac:dyDescent="0.2">
      <c r="A16" s="72"/>
      <c r="B16" s="72"/>
      <c r="C16" s="72"/>
      <c r="D16" s="72"/>
      <c r="E16" s="72"/>
      <c r="F16" s="72"/>
      <c r="G16" s="72"/>
      <c r="H16" s="72"/>
      <c r="I16" s="72"/>
      <c r="J16" s="72"/>
      <c r="K16" s="72"/>
      <c r="L16" s="72"/>
    </row>
    <row r="17" spans="1:12" x14ac:dyDescent="0.2">
      <c r="A17" s="72"/>
      <c r="B17" s="72"/>
      <c r="C17" s="72"/>
      <c r="D17" s="72"/>
      <c r="E17" s="72"/>
      <c r="F17" s="72"/>
      <c r="G17" s="72"/>
      <c r="H17" s="72"/>
      <c r="I17" s="72"/>
      <c r="J17" s="72"/>
      <c r="K17" s="72"/>
      <c r="L17" s="72"/>
    </row>
    <row r="18" spans="1:12" x14ac:dyDescent="0.2">
      <c r="A18" s="72"/>
      <c r="B18" s="72"/>
      <c r="C18" s="72"/>
      <c r="D18" s="72"/>
      <c r="E18" s="72"/>
      <c r="F18" s="72"/>
      <c r="G18" s="72"/>
      <c r="H18" s="72"/>
      <c r="I18" s="72"/>
      <c r="J18" s="72"/>
      <c r="K18" s="72"/>
      <c r="L18" s="7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2023-08-11T11:39:42Z</dcterms:modified>
  <cp:category/>
  <cp:contentStatus/>
</cp:coreProperties>
</file>