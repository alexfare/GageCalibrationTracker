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E:\Alex-OneDrive\OneDrive\!Projects\Programs\Gage Calibration\!Update\"/>
    </mc:Choice>
  </mc:AlternateContent>
  <xr:revisionPtr revIDLastSave="0" documentId="13_ncr:1_{831AF4AC-58DC-4941-9E1A-681429E45C74}" xr6:coauthVersionLast="47" xr6:coauthVersionMax="47" xr10:uidLastSave="{00000000-0000-0000-0000-000000000000}"/>
  <bookViews>
    <workbookView showHorizontalScroll="0" showSheetTabs="0" xWindow="-120" yWindow="-120" windowWidth="28110" windowHeight="16440" tabRatio="541" activeTab="1" xr2:uid="{00000000-000D-0000-FFFF-FFFF00000000}"/>
  </bookViews>
  <sheets>
    <sheet name="Dashboard" sheetId="41" r:id="rId1"/>
    <sheet name="CreatedByAlexFare" sheetId="13" r:id="rId2"/>
    <sheet name="GageRnR" sheetId="37" r:id="rId3"/>
    <sheet name="Calculations" sheetId="40" r:id="rId4"/>
    <sheet name="Credentials" sheetId="27" r:id="rId5"/>
    <sheet name="Lists" sheetId="28" r:id="rId6"/>
    <sheet name="Customers" sheetId="30" r:id="rId7"/>
    <sheet name="Admin" sheetId="34" r:id="rId8"/>
    <sheet name="Login" sheetId="38" r:id="rId9"/>
    <sheet name="Labels" sheetId="35" state="hidden" r:id="rId10"/>
    <sheet name="Codes" sheetId="36" r:id="rId11"/>
    <sheet name="Format" sheetId="39" r:id="rId12"/>
  </sheets>
  <functionGroups builtInGroupCount="19"/>
  <definedNames>
    <definedName name="_xlnm._FilterDatabase" localSheetId="1" hidden="1">CreatedByAlexFare!$Z$2:$AK$3</definedName>
    <definedName name="CodeCombinations" localSheetId="10">Codes!$A$2:$B$7</definedName>
    <definedName name="CustomerNames">Customer_Information[Name]</definedName>
    <definedName name="Department_List">Lists!$B$2:$B$9</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 localSheetId="10">Codes!$B$2:$B$7</definedName>
    <definedName name="Password" localSheetId="6">Customers!$B$2:$B$2</definedName>
    <definedName name="Password">Credentials!$B$2:$B$2</definedName>
    <definedName name="_xlnm.Print_Area" localSheetId="1">CreatedByAlexFare!$A$2:$G$3</definedName>
    <definedName name="Status_List">Lists!$A$2:$A$5</definedName>
    <definedName name="UserCombinations" localSheetId="6">Customers!$A$2:$B$2</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<sst xmlns="http://schemas.openxmlformats.org/spreadsheetml/2006/main" count="226" uniqueCount="201">
  <si>
    <t>Gage Calibration Tracker</t>
  </si>
  <si>
    <t>Gage ID</t>
  </si>
  <si>
    <t>Part Number</t>
  </si>
  <si>
    <t>Description</t>
  </si>
  <si>
    <t>Gage Type</t>
  </si>
  <si>
    <t>Customer</t>
  </si>
  <si>
    <t>Calibration Date</t>
  </si>
  <si>
    <t>Due Date</t>
  </si>
  <si>
    <t>Initials</t>
  </si>
  <si>
    <t>Department</t>
  </si>
  <si>
    <t>Comments</t>
  </si>
  <si>
    <t>Column1</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</si>
  <si>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</si>
  <si>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</si>
  <si>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</si>
  <si>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</si>
  <si>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</si>
  <si>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</si>
  <si>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</si>
  <si>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</si>
  <si>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</si>
  <si>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</si>
  <si>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</si>
  <si>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</si>
  <si>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</si>
  <si>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</si>
  <si>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</si>
  <si>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</si>
  <si>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</si>
  <si>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</si>
  <si>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</si>
  <si>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</si>
  <si>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</si>
  <si>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</si>
  <si>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</si>
  <si>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</si>
  <si>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</si>
  <si>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</si>
  <si>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</si>
  <si>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</si>
  <si>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</si>
  <si>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</si>
  <si>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</si>
  <si>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</si>
  <si>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</si>
  <si>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</si>
  <si>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</si>
  <si>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</si>
  <si>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</si>
  <si>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</si>
  <si>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</si>
  <si>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Lost</t>
  </si>
  <si>
    <t>Weld</t>
  </si>
  <si>
    <t>Ring Gage</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</si>
  <si>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</si>
  <si>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</si>
  <si>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</si>
  <si>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</si>
  <si>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</si>
  <si>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</si>
  <si>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</si>
  <si>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</si>
  <si>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</si>
  <si>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</si>
  <si>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</si>
  <si>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</si>
  <si>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</si>
  <si>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</si>
  <si>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</si>
  <si>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</si>
  <si>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</si>
  <si>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</si>
  <si>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</si>
  <si>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</si>
  <si>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</si>
  <si>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</si>
  <si>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</si>
  <si>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</si>
  <si>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</si>
  <si>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</si>
  <si>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</si>
  <si>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</si>
  <si>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</si>
  <si>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</si>
  <si>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</si>
  <si>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</si>
  <si>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</si>
  <si>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</si>
  <si>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</si>
  <si>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</si>
  <si>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</si>
  <si>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</si>
  <si>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</si>
  <si>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</si>
  <si>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</si>
  <si>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</si>
  <si>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</si>
  <si>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</si>
  <si>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</si>
  <si>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</si>
  <si>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</si>
  <si>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</si>
  <si>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</si>
  <si>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</si>
  <si>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</si>
  <si>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</si>
  <si>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</si>
  <si>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</si>
  <si>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</si>
  <si>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</si>
  <si>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</si>
  <si>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</si>
  <si>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</si>
  <si>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</si>
  <si>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</si>
  <si>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</si>
  <si>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</si>
  <si>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</si>
  <si>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</si>
  <si>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</si>
  <si>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</si>
  <si>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</si>
  <si>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</si>
  <si>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</si>
  <si>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</si>
  <si>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</si>
  <si>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</si>
  <si>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</si>
  <si>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</si>
  <si>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</si>
  <si>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</si>
  <si>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</si>
  <si>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</si>
  <si>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</si>
  <si>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</si>
  <si>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</si>
  <si>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</si>
  <si>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</si>
  <si>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</si>
  <si>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</si>
  <si>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</si>
  <si>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</si>
  <si>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</si>
  <si>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</si>
  <si>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</si>
  <si>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</si>
  <si>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</si>
  <si>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</si>
  <si>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</si>
  <si>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</si>
  <si>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</si>
  <si>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</si>
  <si>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</si>
  <si>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</si>
  <si>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</si>
  <si>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</si>
  <si>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</si>
  <si>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</si>
  <si>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</si>
  <si>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</si>
  <si>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</si>
  <si>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</si>
  <si>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</si>
  <si>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</si>
  <si>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</si>
  <si>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</si>
  <si>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</si>
  <si>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</si>
  <si>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</si>
  <si>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</si>
  <si>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</si>
  <si>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</si>
  <si>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</si>
  <si>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</si>
  <si>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</si>
  <si>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</si>
  <si>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</si>
  <si>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</si>
  <si>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</si>
  <si>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</si>
  <si>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</si>
  <si>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</si>
  <si>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</si>
  <si>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</si>
  <si>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</si>
  <si>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</si>
  <si>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</si>
  <si>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</si>
  <si>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</si>
  <si>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</si>
  <si>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</si>
  <si>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</si>
  <si>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</si>
  <si>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</si>
  <si>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</si>
  <si>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</si>
  <si>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</si>
  <si>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</si>
  <si>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</si>
  <si>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</si>
  <si>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v3.14.0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</si>
</sst>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1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17</xdr:row>
          <xdr:rowOff>104775</xdr:rowOff>
        </xdr:from>
        <xdr:to>
          <xdr:col>3</xdr:col>
          <xdr:colOff>342900</xdr:colOff>
          <xdr:row>21</xdr:row>
          <xdr:rowOff>66675</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8" dataDxfId="116" headerRowBorderDxfId="117" tableBorderDxfId="115" totalsRowBorderDxfId="114" dataCellStyle="Normal">
  <autoFilter ref="A2:AO3" xr:uid="{00000000-000C-0000-FFFF-FFFF00000000}"/>
  <sortState xmlns:xlrd2="http://schemas.microsoft.com/office/spreadsheetml/2017/richdata2" ref="A3:AO3">
    <sortCondition ref="G2:G3"/>
  </sortState>
  <tableColumns count="41">
    <tableColumn id="1" xr3:uid="{00000000-0010-0000-0000-000001000000}" name="Gage ID" dataDxfId="113" dataCellStyle="Normal"/>
    <tableColumn id="2" xr3:uid="{00000000-0010-0000-0000-000002000000}" name="Part Number" dataDxfId="112" dataCellStyle="Normal"/>
    <tableColumn id="3" xr3:uid="{00000000-0010-0000-0000-000003000000}" name="Description" dataDxfId="111" dataCellStyle="Normal"/>
    <tableColumn id="28" xr3:uid="{00000000-0010-0000-0000-00001C000000}" name="Gage Type" dataDxfId="110" dataCellStyle="Normal"/>
    <tableColumn id="4" xr3:uid="{00000000-0010-0000-0000-000004000000}" name="Customer" dataDxfId="109" dataCellStyle="Normal"/>
    <tableColumn id="6" xr3:uid="{00000000-0010-0000-0000-000006000000}" name="Calibration Date" dataDxfId="108" dataCellStyle="Normal"/>
    <tableColumn id="13" xr3:uid="{00000000-0010-0000-0000-00000D000000}" name="Due Date" dataDxfId="107" dataCellStyle="Normal"/>
    <tableColumn id="14" xr3:uid="{00000000-0010-0000-0000-00000E000000}" name="Initials" dataDxfId="106" dataCellStyle="Normal"/>
    <tableColumn id="15" xr3:uid="{00000000-0010-0000-0000-00000F000000}" name="Department" dataDxfId="105" dataCellStyle="Normal"/>
    <tableColumn id="18" xr3:uid="{00000000-0010-0000-0000-000012000000}" name="Comments" dataDxfId="104" dataCellStyle="Normal"/>
    <tableColumn id="5" xr3:uid="{0F3B4C93-D35C-4EFD-B400-D5D30B56A5EB}" name="Column1" dataDxfId="103" dataCellStyle="Normal"/>
    <tableColumn id="7" xr3:uid="{A11B9BF7-7DC4-4FD3-9478-638E60DC1AA8}" name="Column2" dataDxfId="102" dataCellStyle="Normal"/>
    <tableColumn id="8" xr3:uid="{26F829FB-B90C-491D-A3CA-2F936089F7FC}" name="Column3" dataDxfId="101" dataCellStyle="Normal"/>
    <tableColumn id="9" xr3:uid="{C493B276-266D-445A-95F0-05AE67E31DF8}" name="Column4" dataDxfId="100" dataCellStyle="Normal"/>
    <tableColumn id="10" xr3:uid="{3961D265-607E-4D63-9E30-12308999C28E}" name="Column5" dataDxfId="99" dataCellStyle="Normal"/>
    <tableColumn id="11" xr3:uid="{7DDC762E-1713-4459-B406-537227866BF9}" name="Column6" dataDxfId="98" dataCellStyle="Normal"/>
    <tableColumn id="12" xr3:uid="{1663616E-BFED-4012-BD03-1DAFE6DB4EAC}" name="Column7" dataDxfId="97" dataCellStyle="Normal"/>
    <tableColumn id="16" xr3:uid="{3C729E71-C890-44D5-A7EB-E1729AE9DC7C}" name="Column8" dataDxfId="96" dataCellStyle="Normal"/>
    <tableColumn id="17" xr3:uid="{B9F34C95-A8E5-45CC-A330-F0D9C5BD9F56}" name="Column9" dataDxfId="95" dataCellStyle="Normal"/>
    <tableColumn id="19" xr3:uid="{87E78562-5173-4D8F-BF6E-8E05C4254F05}" name="Column10" dataDxfId="94" dataCellStyle="Normal"/>
    <tableColumn id="20" xr3:uid="{4009E320-37FA-4FA8-920E-62CD8239BFB1}" name="Column11" dataDxfId="93" dataCellStyle="Normal"/>
    <tableColumn id="21" xr3:uid="{21709794-CD08-4547-8296-10AD01B59911}" name="Column12" dataDxfId="92" dataCellStyle="Normal"/>
    <tableColumn id="22" xr3:uid="{F39C032E-7585-4A3E-A1C0-245EDE78FD3D}" name="Column13" dataDxfId="91" dataCellStyle="Normal"/>
    <tableColumn id="23" xr3:uid="{BD015AF3-24F7-4360-AE1C-B3EBC8EF271E}" name="Column14" dataDxfId="90" dataCellStyle="Normal"/>
    <tableColumn id="24" xr3:uid="{174F2E2E-532C-4F73-BC1B-A6BD4562C391}" name="Column15" dataDxfId="89" dataCellStyle="Normal"/>
    <tableColumn id="25" xr3:uid="{3D3740C6-205E-4C3B-8B92-2CF8D7276751}" name="Status" dataDxfId="88" dataCellStyle="Normal"/>
    <tableColumn id="26" xr3:uid="{F302B3B8-726D-437B-AE96-924B96DD02A9}" name="aN1" dataDxfId="87" dataCellStyle="Normal"/>
    <tableColumn id="27" xr3:uid="{3A1E958A-2D55-4C38-AA07-147E040F2039}" name="aA1" dataDxfId="86" dataCellStyle="Normal"/>
    <tableColumn id="29" xr3:uid="{3CF72203-9A71-4747-B9BD-0B343E238B2C}" name="aN2" dataDxfId="85" dataCellStyle="Normal"/>
    <tableColumn id="30" xr3:uid="{EFA9826E-E596-491C-8105-9FECD19B415B}" name="aA2" dataDxfId="84" dataCellStyle="Normal"/>
    <tableColumn id="31" xr3:uid="{ACD27D31-BCC1-4277-A69A-FCD29F8E0708}" name="aN3" dataDxfId="83" dataCellStyle="Normal"/>
    <tableColumn id="32" xr3:uid="{6FFC087D-F750-4A9F-A0C4-B07E16ED8562}" name="aA3" dataDxfId="82" dataCellStyle="Normal"/>
    <tableColumn id="33" xr3:uid="{4DE94D4A-66B8-47AB-B341-C2B2252AB00E}" name="aN4" dataDxfId="81" dataCellStyle="Normal"/>
    <tableColumn id="34" xr3:uid="{76D8C600-BCC1-4D14-9315-013D25B69F46}" name="aA4" dataDxfId="80" dataCellStyle="Normal"/>
    <tableColumn id="35" xr3:uid="{D3EC9C14-7821-46E6-850E-0286AFDB0D24}" name="aN5" dataDxfId="79" dataCellStyle="Normal"/>
    <tableColumn id="36" xr3:uid="{DDBCAFCA-129D-4BF2-B73C-8A83EA0C5490}" name="aA5" dataDxfId="78" dataCellStyle="Normal"/>
    <tableColumn id="37" xr3:uid="{2DE193DF-382B-4934-80F9-03B1BB192386}" name="Dated Added" dataDxfId="77" dataCellStyle="Normal"/>
    <tableColumn id="38" xr3:uid="{03B9D41A-44A7-4888-A296-04FBDB05A292}" name="Last Edited" dataDxfId="76" dataCellStyle="Normal"/>
    <tableColumn id="39" xr3:uid="{9E0B8D91-13F8-42E3-8BBD-3B2241BC4C32}" name="Last Searched" dataDxfId="75" dataCellStyle="Normal"/>
    <tableColumn id="40" xr3:uid="{4F35AD6F-9C9B-4E17-BE8B-B0F61729F2DF}" name="Last User" dataDxfId="74" dataCellStyle="Normal"/>
    <tableColumn id="41" xr3:uid="{B36EB548-EE6A-4C73-B269-5F2542373FA9}" name="Attachment" dataDxfId="73"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2" dataDxfId="71">
  <autoFilter ref="A2:AY3" xr:uid="{E044635F-005D-4410-A1E3-2D61D2A8A205}"/>
  <tableColumns count="51">
    <tableColumn id="1" xr3:uid="{C61E81B3-D9BC-4AB4-BD96-5AE01CC22887}" name="Gage Number" dataDxfId="70"/>
    <tableColumn id="2" xr3:uid="{1E9D9336-6246-4DDD-AFB0-C7880EA97BB4}" name="Part Number" dataDxfId="69"/>
    <tableColumn id="3" xr3:uid="{F668BC05-7B8F-4B10-B615-A74E8EC876BF}" name="Part Name" dataDxfId="68"/>
    <tableColumn id="4" xr3:uid="{6599964C-1FBA-4A66-9DCE-2FBCF9543821}" name="Appraiser 1" dataDxfId="67"/>
    <tableColumn id="5" xr3:uid="{24691DF2-46E5-454B-9F8C-B759D626BA8F}" name="a1t1Part 1" dataDxfId="66"/>
    <tableColumn id="6" xr3:uid="{B58A7CAC-4C7D-4585-8FAC-34E6B5575035}" name="a1t1Part 2" dataDxfId="65"/>
    <tableColumn id="7" xr3:uid="{1CB486A1-3C2C-4C95-BD4D-18D7D4D3D69C}" name="a1t1Part 3" dataDxfId="64"/>
    <tableColumn id="8" xr3:uid="{4AF8999F-EB95-43AB-A0D0-48C5336BD545}" name="a1t1Part 4" dataDxfId="63"/>
    <tableColumn id="9" xr3:uid="{9DC6F743-47AB-4F83-8886-C329B0527DB6}" name="a1t1Part 5" dataDxfId="62"/>
    <tableColumn id="15" xr3:uid="{C72F17E8-D9E8-4F14-93DA-BF1D59C063FF}" name="a1t2Part 1" dataDxfId="61"/>
    <tableColumn id="16" xr3:uid="{D7455557-6FF5-41BE-A8D3-A1B9817E9C08}" name="a1t2Part 2" dataDxfId="60"/>
    <tableColumn id="17" xr3:uid="{902AAAE2-8C2A-4809-AC86-DE7F1F807C61}" name="a1t2Part 3" dataDxfId="59"/>
    <tableColumn id="18" xr3:uid="{5DF74AE3-A1CA-4DD8-B82B-A025F4A46F55}" name="a1t2Part 4" dataDxfId="58"/>
    <tableColumn id="19" xr3:uid="{B26550A0-1BF8-43A9-8792-9DBCB9F40259}" name="a1t2Part 5" dataDxfId="57"/>
    <tableColumn id="25" xr3:uid="{080B0E44-DD32-4851-9A95-766EEE0C4E40}" name="a1t3Part 1" dataDxfId="56"/>
    <tableColumn id="26" xr3:uid="{16C7D9D5-D232-4ACC-9CA3-2343B5BBF7E1}" name="a1t3Part 2" dataDxfId="55"/>
    <tableColumn id="27" xr3:uid="{6299EB93-6A79-4800-82D9-C3FA2A131FCE}" name="a1t3Part 3" dataDxfId="54"/>
    <tableColumn id="28" xr3:uid="{7BC72014-EAAF-4085-A1B0-BF1E891D7A21}" name="a1t3Part 4" dataDxfId="53"/>
    <tableColumn id="29" xr3:uid="{1B578E53-CFFA-4D4C-A09B-CDBECE16CBD8}" name="a1t3Part 5" dataDxfId="52"/>
    <tableColumn id="35" xr3:uid="{C56B56F0-06EC-4396-896D-56C8C5514523}" name="Appraiser 2" dataDxfId="51"/>
    <tableColumn id="36" xr3:uid="{5B35D13A-9C9B-459E-A5B6-E77122034F92}" name="a2t1Part 1" dataDxfId="50"/>
    <tableColumn id="37" xr3:uid="{0632A423-5908-4197-95CE-65C3C380B5B2}" name="a2t1Part 2" dataDxfId="49"/>
    <tableColumn id="38" xr3:uid="{A3AA4C96-F7C5-4D8B-9A09-1B322C763515}" name="a2t1Part 3" dataDxfId="48"/>
    <tableColumn id="39" xr3:uid="{D6915093-8283-4CB2-AD97-3E0F3B39BFEF}" name="a2t1Part 4" dataDxfId="47"/>
    <tableColumn id="40" xr3:uid="{95CA6058-A016-468D-9779-CED4AC4D5047}" name="a2t1Part 5" dataDxfId="46"/>
    <tableColumn id="46" xr3:uid="{C8F01277-F04E-4D8E-B1E6-81BDC02D25FF}" name="a2t2Part 1" dataDxfId="45"/>
    <tableColumn id="47" xr3:uid="{61B90D3A-CB21-4022-83E4-E5AF3AB7F01C}" name="a2t2Part 2" dataDxfId="44"/>
    <tableColumn id="48" xr3:uid="{6C587150-FD00-482E-A350-962CA079B7DF}" name="a2t2Part 3" dataDxfId="43"/>
    <tableColumn id="49" xr3:uid="{B8809B6D-E9D9-4930-AC16-0C482543C005}" name="a2t2Part 4" dataDxfId="42"/>
    <tableColumn id="50" xr3:uid="{F807B6BD-0F92-496B-8D02-6F05A297E99C}" name="a2t2Part 5" dataDxfId="41"/>
    <tableColumn id="56" xr3:uid="{4FA0A57D-F066-4CA1-A0BB-689B8D651959}" name="a2t3Part 1" dataDxfId="40"/>
    <tableColumn id="57" xr3:uid="{981BC013-0674-43DF-BDDB-EBE0D0C02842}" name="a2t3Part 2" dataDxfId="39"/>
    <tableColumn id="58" xr3:uid="{40F49A9B-8615-44BD-9197-89E20EF4041B}" name="a2t3Part 3" dataDxfId="38"/>
    <tableColumn id="59" xr3:uid="{88DCF84A-1E7C-484C-9331-585E96727FD5}" name="a2t3Part 4" dataDxfId="37"/>
    <tableColumn id="60" xr3:uid="{6F2AE569-7D0E-4D21-A087-DF121E37916B}" name="a2t3Part 5" dataDxfId="36"/>
    <tableColumn id="66" xr3:uid="{1665A9A8-11E8-46D7-802F-77CADA95FE17}" name="Appraiser 3" dataDxfId="35"/>
    <tableColumn id="67" xr3:uid="{6B35A409-EAE4-4709-B22D-11D16E758166}" name="a3t1Part 1" dataDxfId="34"/>
    <tableColumn id="68" xr3:uid="{F824CB68-83FC-461C-ABBA-D0DD0D07C81C}" name="a3t1Part 2" dataDxfId="33"/>
    <tableColumn id="69" xr3:uid="{60210B7C-D352-428C-A346-D0705F7CF883}" name="a3t1Part 3" dataDxfId="32"/>
    <tableColumn id="70" xr3:uid="{0BF81441-8568-4D13-BAEA-D55E29DD44C2}" name="a3t1Part 4" dataDxfId="31"/>
    <tableColumn id="71" xr3:uid="{46FEA28F-F389-4348-BFAF-C01916FE9592}" name="a3t1Part 5" dataDxfId="30"/>
    <tableColumn id="77" xr3:uid="{7CF53091-8952-4C46-B6B0-064424E66617}" name="a3t2Part 1" dataDxfId="29"/>
    <tableColumn id="78" xr3:uid="{D261E3E9-75C6-43C7-A3E2-EEF8219B086F}" name="a3t2Part 2" dataDxfId="28"/>
    <tableColumn id="79" xr3:uid="{C770ABFC-8EA5-4824-972E-B74AA5756625}" name="a3t2Part 3" dataDxfId="27"/>
    <tableColumn id="80" xr3:uid="{B3B04B58-976D-4044-B1B7-BD990E56AF1F}" name="a3t2Part 4" dataDxfId="26"/>
    <tableColumn id="81" xr3:uid="{CF0C93CD-D098-4A62-8AC2-CD3611B94FE6}" name="a3t2Part 5" dataDxfId="25"/>
    <tableColumn id="87" xr3:uid="{23BA228A-0092-43EE-8B91-3ACDC0217DE5}" name="a3t3Part 1" dataDxfId="24"/>
    <tableColumn id="88" xr3:uid="{0CE26BA6-226F-4EBE-BC5A-55E6D4D135DA}" name="a3t3Part 2" dataDxfId="23"/>
    <tableColumn id="89" xr3:uid="{A044DEDB-9A27-45FC-9B95-2FE69A188D8D}" name="a3t3Part 3" dataDxfId="22"/>
    <tableColumn id="90" xr3:uid="{38CB87FA-ED90-4F7E-B3EC-194128A8CD9B}" name="a3t3Part 4" dataDxfId="21"/>
    <tableColumn id="91" xr3:uid="{CB8BC416-8F0E-46AA-AFF6-3B0BE3E6FAD5}" name="a3t3Part 5" dataDxfId="20"/>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19" dataDxfId="18">
  <autoFilter ref="A1:G2" xr:uid="{5CDBBC90-E356-4AF3-8E2D-746A3FF6ED4F}"/>
  <tableColumns count="7">
    <tableColumn id="1" xr3:uid="{00248448-9583-4BF4-8219-C71E3BF5723A}" name="Username" dataDxfId="17"/>
    <tableColumn id="2" xr3:uid="{E62986C9-719D-4642-8175-2FAE8B4080D1}" name="Password" dataDxfId="16"/>
    <tableColumn id="3" xr3:uid="{32583A32-F66F-4869-A51C-611BC0019ACC}" name="Name" dataDxfId="15"/>
    <tableColumn id="4" xr3:uid="{6A26537B-3C80-40CA-9ABA-26F1F974DFF9}" name="Phone Number" dataDxfId="14"/>
    <tableColumn id="5" xr3:uid="{FB9FAC29-D9B4-44ED-9C2A-8903C5A17DD0}" name="Address" dataDxfId="13"/>
    <tableColumn id="6" xr3:uid="{508FB15F-1DF8-4E79-BB18-F656AA929A24}" name="Job Position" dataDxfId="12"/>
    <tableColumn id="7" xr3:uid="{162140D5-7A7B-4BD5-86DC-5054B0EA286B}" name="Email"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0" dataDxfId="9">
  <autoFilter ref="A1:D2" xr:uid="{5CDBBC90-E356-4AF3-8E2D-746A3FF6ED4F}"/>
  <sortState xmlns:xlrd2="http://schemas.microsoft.com/office/spreadsheetml/2017/richdata2" ref="A2:D2">
    <sortCondition ref="A1:A2"/>
  </sortState>
  <tableColumns count="4">
    <tableColumn id="1" xr3:uid="{53E87D0C-413F-4791-99EC-F7A9AC77DA78}" name="Name" dataDxfId="8"/>
    <tableColumn id="2" xr3:uid="{CB37280F-EB2D-46BD-B6F0-F21F0814DBBE}" name="Address" dataDxfId="7"/>
    <tableColumn id="3" xr3:uid="{2E779FE0-D124-4AE5-82BC-7D22EF010A5B}" name="Phone" dataDxfId="6"/>
    <tableColumn id="4" xr3:uid="{9A63C2B0-23F3-4E13-95E7-6D8148D4D30C}" name="Website" dataDxfId="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3" dataDxfId="2">
  <autoFilter ref="A1:B7" xr:uid="{5CDBBC90-E356-4AF3-8E2D-746A3FF6ED4F}"/>
  <tableColumns count="2">
    <tableColumn id="1" xr3:uid="{7E39E24D-023F-406F-BA61-0C3183B13408}" name="Username" dataDxfId="1"/>
    <tableColumn id="2" xr3:uid="{F2B0627D-2F08-476C-8CDF-94EAE1C0B1D8}" name="Passwor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302A3-2950-4D17-959C-94F8AD79C761}">
  <sheetPr codeName="Sheet12"/>
  <dimension ref="A1"/>
  <sheetViews>
    <sheetView workbookViewId="0">
      <selection activeCell="D30" sqref="D30"/>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A13" sqref="A13"/>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1.5703125" style="3" bestFit="1" customWidth="1"/>
    <col min="5" max="5" width="20.140625" style="3" bestFit="1" customWidth="1"/>
    <col min="6" max="6" width="20.42578125" style="43" customWidth="1"/>
    <col min="7" max="7" width="17.7109375" style="43" customWidth="1"/>
    <col min="8" max="8" width="15" style="3" bestFit="1" customWidth="1"/>
    <col min="9" max="9" width="19.140625" style="3" customWidth="1"/>
    <col min="10" max="10" width="18.85546875"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21"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45027</v>
      </c>
      <c r="J1" s="46">
        <f ca="1">TODAY()</f>
        <v>45027</v>
      </c>
      <c r="K1" s="35"/>
      <c r="L1" s="35"/>
      <c r="M1" s="35"/>
      <c r="N1" s="35"/>
      <c r="O1" s="35"/>
      <c r="P1" s="35"/>
      <c r="Q1" s="35"/>
      <c r="R1" s="35"/>
      <c r="S1" s="35"/>
      <c r="T1" s="35"/>
      <c r="U1" s="35"/>
      <c r="V1" s="35"/>
      <c r="W1" s="35"/>
      <c r="X1" s="35"/>
      <c r="Y1" s="35"/>
      <c r="Z1" s="35" t="s">
        <v>200</v>
      </c>
    </row>
    <row r="2" spans="1:42" s="2" customFormat="1" ht="40.5" x14ac:dyDescent="0.2">
      <c r="A2" s="27" t="s">
        <v>1</v>
      </c>
      <c r="B2" s="27" t="s">
        <v>2</v>
      </c>
      <c r="C2" s="27" t="s">
        <v>3</v>
      </c>
      <c r="D2" s="27" t="s">
        <v>4</v>
      </c>
      <c r="E2" s="27" t="s">
        <v>5</v>
      </c>
      <c r="F2" s="28" t="s">
        <v>6</v>
      </c>
      <c r="G2" s="29" t="s">
        <v>7</v>
      </c>
      <c r="H2" s="27" t="s">
        <v>8</v>
      </c>
      <c r="I2" s="27" t="s">
        <v>9</v>
      </c>
      <c r="J2" s="30" t="s">
        <v>10</v>
      </c>
      <c r="K2" s="31" t="s">
        <v>11</v>
      </c>
      <c r="L2" s="32" t="s">
        <v>12</v>
      </c>
      <c r="M2" s="31" t="s">
        <v>13</v>
      </c>
      <c r="N2" s="31" t="s">
        <v>14</v>
      </c>
      <c r="O2" s="31" t="s">
        <v>15</v>
      </c>
      <c r="P2" s="31" t="s">
        <v>16</v>
      </c>
      <c r="Q2" s="31" t="s">
        <v>17</v>
      </c>
      <c r="R2" s="31" t="s">
        <v>18</v>
      </c>
      <c r="S2" s="31" t="s">
        <v>19</v>
      </c>
      <c r="T2" s="31" t="s">
        <v>20</v>
      </c>
      <c r="U2" s="31" t="s">
        <v>21</v>
      </c>
      <c r="V2" s="31" t="s">
        <v>22</v>
      </c>
      <c r="W2" s="31" t="s">
        <v>23</v>
      </c>
      <c r="X2" s="31" t="s">
        <v>24</v>
      </c>
      <c r="Y2" s="31" t="s">
        <v>25</v>
      </c>
      <c r="Z2" s="33" t="s">
        <v>26</v>
      </c>
      <c r="AA2" s="31" t="s">
        <v>27</v>
      </c>
      <c r="AB2" s="31" t="s">
        <v>28</v>
      </c>
      <c r="AC2" s="31" t="s">
        <v>29</v>
      </c>
      <c r="AD2" s="31" t="s">
        <v>30</v>
      </c>
      <c r="AE2" s="31" t="s">
        <v>31</v>
      </c>
      <c r="AF2" s="31" t="s">
        <v>32</v>
      </c>
      <c r="AG2" s="31" t="s">
        <v>33</v>
      </c>
      <c r="AH2" s="31" t="s">
        <v>34</v>
      </c>
      <c r="AI2" s="31" t="s">
        <v>35</v>
      </c>
      <c r="AJ2" s="31" t="s">
        <v>36</v>
      </c>
      <c r="AK2" s="32" t="s">
        <v>37</v>
      </c>
      <c r="AL2" s="32" t="s">
        <v>38</v>
      </c>
      <c r="AM2" s="32" t="s">
        <v>39</v>
      </c>
      <c r="AN2" s="31" t="s">
        <v>40</v>
      </c>
      <c r="AO2" s="31" t="s">
        <v>115</v>
      </c>
      <c r="AP2" s="37"/>
    </row>
    <row r="3" spans="1:42" s="7" customFormat="1" ht="16.35000000000000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selectLockedCells="1" sort="0" autoFilter="0" pivotTables="0"/>
  <protectedRanges>
    <protectedRange sqref="A3:J7918" name="Range1"/>
  </protectedRanges>
  <dataConsolidate/>
  <mergeCells count="1">
    <mergeCell ref="A1:H1"/>
  </mergeCells>
  <phoneticPr fontId="0" type="noConversion"/>
  <conditionalFormatting sqref="G3">
    <cfRule type="containsBlanks" priority="2" stopIfTrue="1">
      <formula>LEN(TRIM(G3))=0</formula>
    </cfRule>
    <cfRule type="cellIs" dxfId="120" priority="3" stopIfTrue="1" operator="lessThan">
      <formula>$J$1</formula>
    </cfRule>
    <cfRule type="cellIs" dxfId="119"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G41" sqref="G41"/>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110</v>
      </c>
      <c r="F1" s="54"/>
      <c r="G1" s="54"/>
      <c r="H1" s="54"/>
      <c r="I1" s="54"/>
      <c r="J1" s="53" t="s">
        <v>111</v>
      </c>
      <c r="K1" s="54"/>
      <c r="L1" s="54"/>
      <c r="M1" s="54"/>
      <c r="N1" s="54"/>
      <c r="O1" s="53" t="s">
        <v>112</v>
      </c>
      <c r="P1" s="54"/>
      <c r="Q1" s="54"/>
      <c r="R1" s="54"/>
      <c r="S1" s="54"/>
      <c r="U1" s="53" t="s">
        <v>110</v>
      </c>
      <c r="V1" s="54"/>
      <c r="W1" s="54"/>
      <c r="X1" s="54"/>
      <c r="Y1" s="54"/>
      <c r="Z1" s="53" t="s">
        <v>111</v>
      </c>
      <c r="AA1" s="54"/>
      <c r="AB1" s="54"/>
      <c r="AC1" s="54"/>
      <c r="AD1" s="54"/>
      <c r="AE1" s="53" t="s">
        <v>112</v>
      </c>
      <c r="AF1" s="54"/>
      <c r="AG1" s="54"/>
      <c r="AH1" s="54"/>
      <c r="AI1" s="54"/>
    </row>
    <row r="2" spans="1:52" ht="28.5" customHeight="1" x14ac:dyDescent="0.2">
      <c r="A2" s="41" t="s">
        <v>116</v>
      </c>
      <c r="B2" s="41" t="s">
        <v>2</v>
      </c>
      <c r="C2" s="41" t="s">
        <v>117</v>
      </c>
      <c r="D2" s="5" t="s">
        <v>109</v>
      </c>
      <c r="E2" s="3" t="s">
        <v>118</v>
      </c>
      <c r="F2" s="3" t="s">
        <v>119</v>
      </c>
      <c r="G2" s="3" t="s">
        <v>120</v>
      </c>
      <c r="H2" s="3" t="s">
        <v>121</v>
      </c>
      <c r="I2" s="3" t="s">
        <v>122</v>
      </c>
      <c r="J2" s="3" t="s">
        <v>123</v>
      </c>
      <c r="K2" s="3" t="s">
        <v>124</v>
      </c>
      <c r="L2" s="3" t="s">
        <v>125</v>
      </c>
      <c r="M2" s="3" t="s">
        <v>126</v>
      </c>
      <c r="N2" s="3" t="s">
        <v>127</v>
      </c>
      <c r="O2" s="3" t="s">
        <v>128</v>
      </c>
      <c r="P2" s="3" t="s">
        <v>129</v>
      </c>
      <c r="Q2" s="3" t="s">
        <v>130</v>
      </c>
      <c r="R2" s="3" t="s">
        <v>131</v>
      </c>
      <c r="S2" s="3" t="s">
        <v>132</v>
      </c>
      <c r="T2" s="5" t="s">
        <v>113</v>
      </c>
      <c r="U2" s="5" t="s">
        <v>133</v>
      </c>
      <c r="V2" s="3" t="s">
        <v>134</v>
      </c>
      <c r="W2" s="3" t="s">
        <v>135</v>
      </c>
      <c r="X2" s="3" t="s">
        <v>136</v>
      </c>
      <c r="Y2" s="3" t="s">
        <v>137</v>
      </c>
      <c r="Z2" s="3" t="s">
        <v>138</v>
      </c>
      <c r="AA2" s="3" t="s">
        <v>139</v>
      </c>
      <c r="AB2" s="3" t="s">
        <v>140</v>
      </c>
      <c r="AC2" s="3" t="s">
        <v>141</v>
      </c>
      <c r="AD2" s="3" t="s">
        <v>142</v>
      </c>
      <c r="AE2" s="3" t="s">
        <v>143</v>
      </c>
      <c r="AF2" s="3" t="s">
        <v>147</v>
      </c>
      <c r="AG2" s="3" t="s">
        <v>146</v>
      </c>
      <c r="AH2" s="3" t="s">
        <v>145</v>
      </c>
      <c r="AI2" s="3" t="s">
        <v>144</v>
      </c>
      <c r="AJ2" s="5" t="s">
        <v>114</v>
      </c>
      <c r="AK2" s="3" t="s">
        <v>148</v>
      </c>
      <c r="AL2" s="5" t="s">
        <v>149</v>
      </c>
      <c r="AM2" s="3" t="s">
        <v>150</v>
      </c>
      <c r="AN2" s="3" t="s">
        <v>151</v>
      </c>
      <c r="AO2" s="3" t="s">
        <v>152</v>
      </c>
      <c r="AP2" s="3" t="s">
        <v>153</v>
      </c>
      <c r="AQ2" s="3" t="s">
        <v>154</v>
      </c>
      <c r="AR2" s="3" t="s">
        <v>155</v>
      </c>
      <c r="AS2" s="3" t="s">
        <v>156</v>
      </c>
      <c r="AT2" s="3" t="s">
        <v>157</v>
      </c>
      <c r="AU2" s="3" t="s">
        <v>158</v>
      </c>
      <c r="AV2" s="3" t="s">
        <v>159</v>
      </c>
      <c r="AW2" s="3" t="s">
        <v>160</v>
      </c>
      <c r="AX2" s="3" t="s">
        <v>161</v>
      </c>
      <c r="AY2" s="3" t="s">
        <v>162</v>
      </c>
      <c r="AZ2" s="42"/>
    </row>
    <row r="3" spans="1:52" x14ac:dyDescent="0.2">
      <c r="A3" s="42"/>
      <c r="D3" s="42"/>
      <c r="T3" s="42"/>
      <c r="U3" s="42"/>
      <c r="AJ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topLeftCell="A16" workbookViewId="0">
      <selection activeCell="I50" sqref="I50"/>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8" t="s">
        <v>173</v>
      </c>
      <c r="B1" s="58" t="s">
        <v>174</v>
      </c>
      <c r="C1" s="58" t="s">
        <v>175</v>
      </c>
      <c r="D1" s="58"/>
      <c r="E1" s="58"/>
      <c r="F1" s="58" t="s">
        <v>176</v>
      </c>
      <c r="G1" s="58" t="s">
        <v>177</v>
      </c>
      <c r="K1" s="55" t="s">
        <v>181</v>
      </c>
      <c r="L1" s="55" t="s">
        <v>183</v>
      </c>
    </row>
    <row r="2" spans="1:51" x14ac:dyDescent="0.2">
      <c r="A2" s="58"/>
      <c r="B2" s="58"/>
      <c r="C2" s="41">
        <v>1</v>
      </c>
      <c r="D2" s="41">
        <v>2</v>
      </c>
      <c r="E2" s="41">
        <v>3</v>
      </c>
      <c r="F2" s="58"/>
      <c r="G2" s="58"/>
      <c r="I2" s="6" t="s">
        <v>176</v>
      </c>
      <c r="J2" s="6" t="s">
        <v>177</v>
      </c>
      <c r="K2" s="55"/>
      <c r="L2" s="55"/>
    </row>
    <row r="3" spans="1:51" x14ac:dyDescent="0.2">
      <c r="A3" s="57">
        <v>1</v>
      </c>
      <c r="B3" s="41">
        <v>1</v>
      </c>
      <c r="C3" s="49">
        <v>1.25</v>
      </c>
      <c r="D3" s="49">
        <v>1</v>
      </c>
      <c r="E3" s="49">
        <v>1</v>
      </c>
      <c r="F3" s="50">
        <f>MAX(C3:E3)-MIN(C3:E3)</f>
        <v>0.25</v>
      </c>
      <c r="G3" s="41">
        <f>(C3+D3+E3)/3</f>
        <v>1.0833333333333333</v>
      </c>
      <c r="H3" s="59" t="s">
        <v>178</v>
      </c>
      <c r="I3" s="57">
        <f>(F3+F4+F5+F6+F7)/5</f>
        <v>0.25</v>
      </c>
      <c r="J3" s="57">
        <f>(G3+G4+G5+G6+G7)/5</f>
        <v>1.1079999999999999</v>
      </c>
      <c r="K3" s="41">
        <f>(I3+I8+I13)/3</f>
        <v>0.18866666666666668</v>
      </c>
      <c r="L3" s="41">
        <f>MAX(J3:J17)-MIN(J3:J17)</f>
        <v>6.2000000000000055E-2</v>
      </c>
      <c r="AQ3" t="s">
        <v>163</v>
      </c>
      <c r="AR3" t="s">
        <v>163</v>
      </c>
      <c r="AS3" t="s">
        <v>163</v>
      </c>
      <c r="AT3" t="s">
        <v>163</v>
      </c>
      <c r="AV3" t="s">
        <v>163</v>
      </c>
      <c r="AW3" t="s">
        <v>163</v>
      </c>
      <c r="AX3" t="s">
        <v>163</v>
      </c>
      <c r="AY3" t="s">
        <v>163</v>
      </c>
    </row>
    <row r="4" spans="1:51" x14ac:dyDescent="0.2">
      <c r="A4" s="57"/>
      <c r="B4" s="41">
        <v>2</v>
      </c>
      <c r="C4" s="49">
        <v>1.5</v>
      </c>
      <c r="D4" s="49">
        <v>1.1499999999999999</v>
      </c>
      <c r="E4" s="49">
        <v>1</v>
      </c>
      <c r="F4" s="50">
        <f t="shared" ref="F4:F17" si="0">MAX(C4:E4)-MIN(C4:E4)</f>
        <v>0.5</v>
      </c>
      <c r="G4" s="41">
        <f t="shared" ref="G4:G17" si="1">(C4+D4+E4)/3</f>
        <v>1.2166666666666666</v>
      </c>
      <c r="H4" s="60"/>
      <c r="I4" s="57"/>
      <c r="J4" s="57"/>
      <c r="K4" s="41"/>
      <c r="L4" s="41"/>
    </row>
    <row r="5" spans="1:51" x14ac:dyDescent="0.2">
      <c r="A5" s="57"/>
      <c r="B5" s="41">
        <v>3</v>
      </c>
      <c r="C5" s="49">
        <v>1</v>
      </c>
      <c r="D5" s="49">
        <v>1.25</v>
      </c>
      <c r="E5" s="49">
        <v>1.05</v>
      </c>
      <c r="F5" s="50">
        <f t="shared" si="0"/>
        <v>0.25</v>
      </c>
      <c r="G5" s="41">
        <f t="shared" si="1"/>
        <v>1.0999999999999999</v>
      </c>
      <c r="H5" s="60"/>
      <c r="I5" s="57"/>
      <c r="J5" s="57"/>
      <c r="K5" s="41"/>
      <c r="L5" s="41"/>
    </row>
    <row r="6" spans="1:51" x14ac:dyDescent="0.2">
      <c r="A6" s="57"/>
      <c r="B6" s="41">
        <v>4</v>
      </c>
      <c r="C6" s="49">
        <v>1.2</v>
      </c>
      <c r="D6" s="49">
        <v>1.1200000000000001</v>
      </c>
      <c r="E6" s="49">
        <v>1</v>
      </c>
      <c r="F6" s="50">
        <f t="shared" si="0"/>
        <v>0.19999999999999996</v>
      </c>
      <c r="G6" s="41">
        <f t="shared" si="1"/>
        <v>1.1066666666666667</v>
      </c>
      <c r="H6" s="60"/>
      <c r="I6" s="57"/>
      <c r="J6" s="57"/>
      <c r="K6" s="41"/>
      <c r="L6" s="41"/>
    </row>
    <row r="7" spans="1:51" x14ac:dyDescent="0.2">
      <c r="A7" s="57"/>
      <c r="B7" s="41">
        <v>5</v>
      </c>
      <c r="C7" s="49">
        <v>1</v>
      </c>
      <c r="D7" s="49">
        <v>1.05</v>
      </c>
      <c r="E7" s="49">
        <v>1.05</v>
      </c>
      <c r="F7" s="50">
        <f t="shared" si="0"/>
        <v>5.0000000000000044E-2</v>
      </c>
      <c r="G7" s="41">
        <f t="shared" si="1"/>
        <v>1.0333333333333332</v>
      </c>
      <c r="H7" s="60"/>
      <c r="I7" s="57"/>
      <c r="J7" s="57"/>
      <c r="K7" s="41"/>
      <c r="L7" s="41"/>
    </row>
    <row r="8" spans="1:51" x14ac:dyDescent="0.2">
      <c r="A8" s="57">
        <v>2</v>
      </c>
      <c r="B8" s="41">
        <v>1</v>
      </c>
      <c r="C8" s="49">
        <v>1</v>
      </c>
      <c r="D8" s="49">
        <v>1</v>
      </c>
      <c r="E8" s="49">
        <v>1</v>
      </c>
      <c r="F8" s="50">
        <f t="shared" si="0"/>
        <v>0</v>
      </c>
      <c r="G8" s="41">
        <f t="shared" si="1"/>
        <v>1</v>
      </c>
      <c r="H8" s="59" t="s">
        <v>179</v>
      </c>
      <c r="I8" s="57">
        <f>(F8+F9+F10+F11+F12)/5</f>
        <v>0.18800000000000003</v>
      </c>
      <c r="J8" s="57">
        <f>(G8+G9+G10+G11+G12)/5</f>
        <v>1.0893333333333333</v>
      </c>
      <c r="K8" s="41"/>
      <c r="L8" s="41"/>
    </row>
    <row r="9" spans="1:51" x14ac:dyDescent="0.2">
      <c r="A9" s="57"/>
      <c r="B9" s="41">
        <v>2</v>
      </c>
      <c r="C9" s="49">
        <v>1.05</v>
      </c>
      <c r="D9" s="49">
        <v>1.1200000000000001</v>
      </c>
      <c r="E9" s="49">
        <v>1</v>
      </c>
      <c r="F9" s="50">
        <f t="shared" si="0"/>
        <v>0.12000000000000011</v>
      </c>
      <c r="G9" s="41">
        <f t="shared" si="1"/>
        <v>1.0566666666666666</v>
      </c>
      <c r="H9" s="60"/>
      <c r="I9" s="57"/>
      <c r="J9" s="57"/>
      <c r="K9" s="41"/>
      <c r="L9" s="41"/>
    </row>
    <row r="10" spans="1:51" x14ac:dyDescent="0.2">
      <c r="A10" s="57"/>
      <c r="B10" s="41">
        <v>3</v>
      </c>
      <c r="C10" s="49">
        <v>1.1000000000000001</v>
      </c>
      <c r="D10" s="49">
        <v>1.87</v>
      </c>
      <c r="E10" s="49">
        <v>1.1499999999999999</v>
      </c>
      <c r="F10" s="50">
        <f t="shared" si="0"/>
        <v>0.77</v>
      </c>
      <c r="G10" s="41">
        <f t="shared" si="1"/>
        <v>1.3733333333333333</v>
      </c>
      <c r="H10" s="60"/>
      <c r="I10" s="57"/>
      <c r="J10" s="57"/>
      <c r="K10" s="41"/>
      <c r="L10" s="41"/>
    </row>
    <row r="11" spans="1:51" x14ac:dyDescent="0.2">
      <c r="A11" s="57"/>
      <c r="B11" s="41">
        <v>4</v>
      </c>
      <c r="C11" s="49">
        <v>1.05</v>
      </c>
      <c r="D11" s="49">
        <v>1</v>
      </c>
      <c r="E11" s="49">
        <v>1</v>
      </c>
      <c r="F11" s="50">
        <f t="shared" si="0"/>
        <v>5.0000000000000044E-2</v>
      </c>
      <c r="G11" s="41">
        <f t="shared" si="1"/>
        <v>1.0166666666666666</v>
      </c>
      <c r="H11" s="60"/>
      <c r="I11" s="57"/>
      <c r="J11" s="57"/>
      <c r="K11" s="41"/>
      <c r="L11" s="41"/>
    </row>
    <row r="12" spans="1:51" x14ac:dyDescent="0.2">
      <c r="A12" s="57"/>
      <c r="B12" s="41">
        <v>5</v>
      </c>
      <c r="C12" s="49">
        <v>1</v>
      </c>
      <c r="D12" s="49">
        <v>1</v>
      </c>
      <c r="E12" s="49">
        <v>1</v>
      </c>
      <c r="F12" s="50">
        <f t="shared" si="0"/>
        <v>0</v>
      </c>
      <c r="G12" s="41">
        <f t="shared" si="1"/>
        <v>1</v>
      </c>
      <c r="H12" s="60"/>
      <c r="I12" s="57"/>
      <c r="J12" s="57"/>
      <c r="K12" s="41"/>
      <c r="L12" s="41"/>
    </row>
    <row r="13" spans="1:51" x14ac:dyDescent="0.2">
      <c r="A13" s="57">
        <v>3</v>
      </c>
      <c r="B13" s="41">
        <v>1</v>
      </c>
      <c r="C13" s="49">
        <v>1</v>
      </c>
      <c r="D13" s="49">
        <v>1.18</v>
      </c>
      <c r="E13" s="49">
        <v>1</v>
      </c>
      <c r="F13" s="50">
        <f t="shared" si="0"/>
        <v>0.17999999999999994</v>
      </c>
      <c r="G13" s="41">
        <f t="shared" si="1"/>
        <v>1.0599999999999998</v>
      </c>
      <c r="H13" s="59" t="s">
        <v>180</v>
      </c>
      <c r="I13" s="57">
        <f>(F13+F14+F15+F16+F17)/5</f>
        <v>0.12799999999999997</v>
      </c>
      <c r="J13" s="57">
        <f>(G13+G14+G15+G16+G17)/5</f>
        <v>1.0459999999999998</v>
      </c>
      <c r="K13" s="41"/>
      <c r="L13" s="41"/>
    </row>
    <row r="14" spans="1:51" x14ac:dyDescent="0.2">
      <c r="A14" s="57"/>
      <c r="B14" s="41">
        <v>2</v>
      </c>
      <c r="C14" s="49">
        <v>1.21</v>
      </c>
      <c r="D14" s="49">
        <v>1</v>
      </c>
      <c r="E14" s="49">
        <v>1</v>
      </c>
      <c r="F14" s="50">
        <f t="shared" si="0"/>
        <v>0.20999999999999996</v>
      </c>
      <c r="G14" s="41">
        <f t="shared" si="1"/>
        <v>1.07</v>
      </c>
      <c r="H14" s="60"/>
      <c r="I14" s="57"/>
      <c r="J14" s="57"/>
      <c r="K14" s="41"/>
      <c r="L14" s="41"/>
    </row>
    <row r="15" spans="1:51" x14ac:dyDescent="0.2">
      <c r="A15" s="57"/>
      <c r="B15" s="41">
        <v>3</v>
      </c>
      <c r="C15" s="49">
        <v>1</v>
      </c>
      <c r="D15" s="49">
        <v>1</v>
      </c>
      <c r="E15" s="49">
        <v>1</v>
      </c>
      <c r="F15" s="50">
        <f t="shared" si="0"/>
        <v>0</v>
      </c>
      <c r="G15" s="41">
        <f t="shared" si="1"/>
        <v>1</v>
      </c>
      <c r="H15" s="60"/>
      <c r="I15" s="57"/>
      <c r="J15" s="57"/>
      <c r="K15" s="41"/>
      <c r="L15" s="41"/>
    </row>
    <row r="16" spans="1:51" x14ac:dyDescent="0.2">
      <c r="A16" s="57"/>
      <c r="B16" s="41">
        <v>4</v>
      </c>
      <c r="C16" s="49">
        <v>1.25</v>
      </c>
      <c r="D16" s="49">
        <v>1.05</v>
      </c>
      <c r="E16" s="49">
        <v>1</v>
      </c>
      <c r="F16" s="50">
        <f t="shared" si="0"/>
        <v>0.25</v>
      </c>
      <c r="G16" s="41">
        <f t="shared" si="1"/>
        <v>1.0999999999999999</v>
      </c>
      <c r="H16" s="60"/>
      <c r="I16" s="57"/>
      <c r="J16" s="57"/>
      <c r="K16" s="41"/>
      <c r="L16" s="41"/>
    </row>
    <row r="17" spans="1:12" x14ac:dyDescent="0.2">
      <c r="A17" s="57"/>
      <c r="B17" s="41">
        <v>5</v>
      </c>
      <c r="C17" s="49">
        <v>1</v>
      </c>
      <c r="D17" s="49">
        <v>1</v>
      </c>
      <c r="E17" s="49">
        <v>1</v>
      </c>
      <c r="F17" s="50">
        <f t="shared" si="0"/>
        <v>0</v>
      </c>
      <c r="G17" s="41">
        <f t="shared" si="1"/>
        <v>1</v>
      </c>
      <c r="H17" s="60"/>
      <c r="I17" s="57"/>
      <c r="J17" s="57"/>
      <c r="K17" s="41"/>
      <c r="L17" s="41"/>
    </row>
    <row r="25" spans="1:12" x14ac:dyDescent="0.2">
      <c r="A25" s="47" t="s">
        <v>182</v>
      </c>
      <c r="B25" s="41">
        <f>K3</f>
        <v>0.18866666666666668</v>
      </c>
    </row>
    <row r="26" spans="1:12" x14ac:dyDescent="0.2">
      <c r="A26" s="47" t="s">
        <v>184</v>
      </c>
      <c r="B26" s="41">
        <v>1.708</v>
      </c>
    </row>
    <row r="27" spans="1:12" x14ac:dyDescent="0.2">
      <c r="A27" s="47" t="s">
        <v>190</v>
      </c>
      <c r="B27">
        <f>1/B26</f>
        <v>0.58548009367681497</v>
      </c>
    </row>
    <row r="28" spans="1:12" x14ac:dyDescent="0.2">
      <c r="A28" s="47" t="s">
        <v>185</v>
      </c>
      <c r="B28" s="41">
        <f>B25*B27</f>
        <v>0.11046057767369243</v>
      </c>
    </row>
    <row r="29" spans="1:12" x14ac:dyDescent="0.2">
      <c r="A29" s="41"/>
      <c r="B29" s="41"/>
    </row>
    <row r="30" spans="1:12" x14ac:dyDescent="0.2">
      <c r="A30" s="47" t="s">
        <v>186</v>
      </c>
      <c r="B30" s="41">
        <f>L3</f>
        <v>6.2000000000000055E-2</v>
      </c>
    </row>
    <row r="31" spans="1:12" x14ac:dyDescent="0.2">
      <c r="A31" s="47" t="s">
        <v>187</v>
      </c>
      <c r="B31" s="41">
        <v>5</v>
      </c>
    </row>
    <row r="32" spans="1:12" x14ac:dyDescent="0.2">
      <c r="A32" s="47" t="s">
        <v>188</v>
      </c>
      <c r="B32" s="41">
        <v>3</v>
      </c>
    </row>
    <row r="33" spans="1:4" x14ac:dyDescent="0.2">
      <c r="A33" s="47" t="s">
        <v>184</v>
      </c>
      <c r="B33" s="41">
        <v>2.3370000000000002</v>
      </c>
    </row>
    <row r="34" spans="1:4" x14ac:dyDescent="0.2">
      <c r="A34" s="47" t="s">
        <v>189</v>
      </c>
      <c r="B34" s="41">
        <f>1/B33</f>
        <v>0.42789901583226353</v>
      </c>
    </row>
    <row r="35" spans="1:4" x14ac:dyDescent="0.2">
      <c r="A35" s="41"/>
      <c r="B35" s="41"/>
    </row>
    <row r="36" spans="1:4" x14ac:dyDescent="0.2">
      <c r="A36" s="41"/>
      <c r="B36" s="41"/>
    </row>
    <row r="37" spans="1:4" x14ac:dyDescent="0.2">
      <c r="A37" s="47" t="s">
        <v>191</v>
      </c>
      <c r="B37" s="41">
        <f>SQRT((B30*B34)^2)-((B28)^2)/(B31*B32)</f>
        <v>2.5716303033599976E-2</v>
      </c>
      <c r="C37" s="41"/>
      <c r="D37" s="41"/>
    </row>
    <row r="38" spans="1:4" x14ac:dyDescent="0.2">
      <c r="A38" s="47" t="s">
        <v>192</v>
      </c>
      <c r="B38" s="41">
        <f>SQRT((B28)^2)+(B37)^2</f>
        <v>0.11112190591540837</v>
      </c>
      <c r="C38" s="41"/>
      <c r="D38" s="41"/>
    </row>
    <row r="39" spans="1:4" x14ac:dyDescent="0.2">
      <c r="A39" s="47" t="s">
        <v>199</v>
      </c>
      <c r="B39" s="48">
        <f>B38</f>
        <v>0.11112190591540837</v>
      </c>
    </row>
    <row r="43" spans="1:4" x14ac:dyDescent="0.2">
      <c r="B43" s="6" t="s">
        <v>194</v>
      </c>
      <c r="C43" s="6" t="s">
        <v>196</v>
      </c>
    </row>
    <row r="44" spans="1:4" x14ac:dyDescent="0.2">
      <c r="B44" s="6" t="s">
        <v>193</v>
      </c>
      <c r="C44" s="6" t="s">
        <v>197</v>
      </c>
    </row>
    <row r="45" spans="1:4" x14ac:dyDescent="0.2">
      <c r="A45" s="47"/>
      <c r="B45" s="6" t="s">
        <v>195</v>
      </c>
      <c r="C45" s="6" t="s">
        <v>198</v>
      </c>
      <c r="D45" s="41"/>
    </row>
    <row r="46" spans="1:4" x14ac:dyDescent="0.2">
      <c r="A46" s="47"/>
      <c r="B46" s="41"/>
      <c r="C46" s="41"/>
      <c r="D46" s="41"/>
    </row>
    <row r="47" spans="1:4" x14ac:dyDescent="0.2">
      <c r="A47" s="47"/>
    </row>
    <row r="48" spans="1:4" x14ac:dyDescent="0.2">
      <c r="A48" s="47"/>
      <c r="C48" s="56"/>
    </row>
    <row r="49" spans="1:3" x14ac:dyDescent="0.2">
      <c r="A49" s="47"/>
      <c r="C49" s="56"/>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68</v>
      </c>
      <c r="B1" s="6" t="s">
        <v>69</v>
      </c>
      <c r="C1" s="6" t="s">
        <v>70</v>
      </c>
      <c r="D1" s="6" t="s">
        <v>71</v>
      </c>
      <c r="E1" s="6" t="s">
        <v>72</v>
      </c>
      <c r="F1" s="6" t="s">
        <v>73</v>
      </c>
      <c r="G1" s="6" t="s">
        <v>74</v>
      </c>
    </row>
    <row r="2" spans="1:7" x14ac:dyDescent="0.2">
      <c r="A2" s="6" t="s">
        <v>166</v>
      </c>
      <c r="B2" s="6" t="s">
        <v>171</v>
      </c>
      <c r="C2" s="6"/>
      <c r="D2" s="6"/>
      <c r="E2" s="6"/>
      <c r="F2" s="6" t="s">
        <v>166</v>
      </c>
      <c r="G2"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D30" sqref="D30"/>
    </sheetView>
  </sheetViews>
  <sheetFormatPr defaultRowHeight="12.75" x14ac:dyDescent="0.2"/>
  <cols>
    <col min="1" max="3" width="20.7109375" customWidth="1"/>
    <col min="4" max="6" width="14" bestFit="1" customWidth="1"/>
  </cols>
  <sheetData>
    <row r="1" spans="1:6" ht="16.5" thickBot="1" x14ac:dyDescent="0.3">
      <c r="A1" s="10" t="s">
        <v>75</v>
      </c>
      <c r="B1" s="11" t="s">
        <v>76</v>
      </c>
      <c r="C1" s="12" t="s">
        <v>77</v>
      </c>
      <c r="D1" s="12"/>
      <c r="E1" s="12"/>
      <c r="F1" s="12"/>
    </row>
    <row r="2" spans="1:6" x14ac:dyDescent="0.2">
      <c r="A2" s="13" t="s">
        <v>43</v>
      </c>
      <c r="B2" s="13" t="s">
        <v>50</v>
      </c>
      <c r="C2" s="13" t="s">
        <v>41</v>
      </c>
      <c r="D2" s="13"/>
      <c r="E2" s="13"/>
      <c r="F2" s="13"/>
    </row>
    <row r="3" spans="1:6" x14ac:dyDescent="0.2">
      <c r="A3" s="14" t="s">
        <v>46</v>
      </c>
      <c r="B3" s="14" t="s">
        <v>49</v>
      </c>
      <c r="C3" s="14" t="s">
        <v>57</v>
      </c>
      <c r="D3" s="14"/>
      <c r="E3" s="14"/>
      <c r="F3" s="14"/>
    </row>
    <row r="4" spans="1:6" x14ac:dyDescent="0.2">
      <c r="A4" s="14" t="s">
        <v>51</v>
      </c>
      <c r="B4" s="14" t="s">
        <v>45</v>
      </c>
      <c r="C4" s="14" t="s">
        <v>59</v>
      </c>
      <c r="D4" s="14"/>
      <c r="E4" s="14"/>
      <c r="F4" s="14"/>
    </row>
    <row r="5" spans="1:6" x14ac:dyDescent="0.2">
      <c r="A5" s="14" t="s">
        <v>62</v>
      </c>
      <c r="B5" s="14" t="s">
        <v>52</v>
      </c>
      <c r="C5" s="14" t="s">
        <v>47</v>
      </c>
      <c r="D5" s="14"/>
      <c r="E5" s="14"/>
      <c r="F5" s="14"/>
    </row>
    <row r="6" spans="1:6" x14ac:dyDescent="0.2">
      <c r="A6" s="15"/>
      <c r="B6" s="14" t="s">
        <v>78</v>
      </c>
      <c r="C6" s="14" t="s">
        <v>63</v>
      </c>
      <c r="D6" s="14"/>
      <c r="E6" s="14"/>
      <c r="F6" s="14"/>
    </row>
    <row r="7" spans="1:6" x14ac:dyDescent="0.2">
      <c r="A7" s="15"/>
      <c r="B7" s="14" t="s">
        <v>48</v>
      </c>
      <c r="C7" s="14" t="s">
        <v>60</v>
      </c>
      <c r="D7" s="14"/>
      <c r="E7" s="14"/>
      <c r="F7" s="14"/>
    </row>
    <row r="8" spans="1:6" x14ac:dyDescent="0.2">
      <c r="A8" s="15"/>
      <c r="B8" s="14" t="s">
        <v>42</v>
      </c>
      <c r="C8" s="14" t="s">
        <v>55</v>
      </c>
      <c r="D8" s="14"/>
      <c r="E8" s="14"/>
      <c r="F8" s="14"/>
    </row>
    <row r="9" spans="1:6" x14ac:dyDescent="0.2">
      <c r="A9" s="15"/>
      <c r="B9" s="14" t="s">
        <v>56</v>
      </c>
      <c r="C9" s="14" t="s">
        <v>61</v>
      </c>
      <c r="D9" s="14"/>
      <c r="E9" s="14"/>
      <c r="F9" s="14"/>
    </row>
    <row r="10" spans="1:6" x14ac:dyDescent="0.2">
      <c r="A10" s="15"/>
      <c r="B10" s="15"/>
      <c r="C10" s="14" t="s">
        <v>44</v>
      </c>
      <c r="D10" s="14"/>
      <c r="E10" s="14"/>
      <c r="F10" s="14"/>
    </row>
    <row r="11" spans="1:6" x14ac:dyDescent="0.2">
      <c r="A11" s="15"/>
      <c r="B11" s="15"/>
      <c r="C11" s="14" t="s">
        <v>67</v>
      </c>
      <c r="D11" s="14"/>
      <c r="E11" s="14"/>
      <c r="F11" s="14"/>
    </row>
    <row r="12" spans="1:6" x14ac:dyDescent="0.2">
      <c r="A12" s="15"/>
      <c r="B12" s="15"/>
      <c r="C12" s="14" t="s">
        <v>58</v>
      </c>
      <c r="D12" s="14"/>
      <c r="E12" s="14"/>
      <c r="F12" s="14"/>
    </row>
    <row r="13" spans="1:6" x14ac:dyDescent="0.2">
      <c r="A13" s="15"/>
      <c r="B13" s="15"/>
      <c r="C13" s="14" t="s">
        <v>53</v>
      </c>
      <c r="D13" s="14"/>
      <c r="E13" s="14"/>
      <c r="F13" s="14"/>
    </row>
    <row r="14" spans="1:6" x14ac:dyDescent="0.2">
      <c r="A14" s="15"/>
      <c r="B14" s="15"/>
      <c r="C14" s="14" t="s">
        <v>64</v>
      </c>
      <c r="D14" s="14"/>
      <c r="E14" s="14"/>
      <c r="F14" s="14"/>
    </row>
    <row r="15" spans="1:6" x14ac:dyDescent="0.2">
      <c r="A15" s="15"/>
      <c r="B15" s="15"/>
      <c r="C15" s="14" t="s">
        <v>54</v>
      </c>
      <c r="D15" s="14"/>
      <c r="E15" s="14"/>
      <c r="F15" s="14"/>
    </row>
    <row r="16" spans="1:6" x14ac:dyDescent="0.2">
      <c r="A16" s="15"/>
      <c r="B16" s="15"/>
      <c r="C16" s="14" t="s">
        <v>65</v>
      </c>
      <c r="D16" s="14"/>
      <c r="E16" s="14"/>
      <c r="F16" s="14"/>
    </row>
    <row r="17" spans="1:6" x14ac:dyDescent="0.2">
      <c r="A17" s="15"/>
      <c r="B17" s="15"/>
      <c r="C17" s="14" t="s">
        <v>66</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70</v>
      </c>
      <c r="B1" s="24" t="s">
        <v>72</v>
      </c>
      <c r="C1" s="24" t="s">
        <v>80</v>
      </c>
      <c r="D1" s="25" t="s">
        <v>81</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topLeftCell="A46" workbookViewId="0">
      <selection activeCell="A67" sqref="A67"/>
    </sheetView>
  </sheetViews>
  <sheetFormatPr defaultRowHeight="12.75" x14ac:dyDescent="0.2"/>
  <cols>
    <col min="1" max="1" width="19.42578125" customWidth="1"/>
    <col min="2" max="2" width="11.28515625" bestFit="1" customWidth="1"/>
  </cols>
  <sheetData>
    <row r="1" spans="1:2" ht="15.75" x14ac:dyDescent="0.25">
      <c r="A1" s="26" t="s">
        <v>107</v>
      </c>
    </row>
    <row r="2" spans="1:2" x14ac:dyDescent="0.2">
      <c r="A2" t="s">
        <v>82</v>
      </c>
    </row>
    <row r="3" spans="1:2" x14ac:dyDescent="0.2">
      <c r="A3" t="s">
        <v>71</v>
      </c>
    </row>
    <row r="4" spans="1:2" x14ac:dyDescent="0.2">
      <c r="A4" t="s">
        <v>72</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6" t="s">
        <v>106</v>
      </c>
    </row>
    <row r="47" spans="1:2" x14ac:dyDescent="0.2">
      <c r="A47" s="6" t="s">
        <v>89</v>
      </c>
      <c r="B47">
        <v>1</v>
      </c>
    </row>
    <row r="48" spans="1:2" x14ac:dyDescent="0.2">
      <c r="A48" s="6" t="s">
        <v>90</v>
      </c>
    </row>
    <row r="49" spans="1:5" x14ac:dyDescent="0.2">
      <c r="A49" s="6" t="s">
        <v>91</v>
      </c>
    </row>
    <row r="50" spans="1:5" x14ac:dyDescent="0.2">
      <c r="A50" s="6" t="s">
        <v>92</v>
      </c>
    </row>
    <row r="51" spans="1:5" x14ac:dyDescent="0.2">
      <c r="A51" s="6" t="s">
        <v>93</v>
      </c>
    </row>
    <row r="52" spans="1:5" x14ac:dyDescent="0.2">
      <c r="A52" s="6" t="s">
        <v>108</v>
      </c>
    </row>
    <row r="53" spans="1:5" x14ac:dyDescent="0.2">
      <c r="A53" s="6" t="s">
        <v>99</v>
      </c>
    </row>
    <row r="54" spans="1:5" x14ac:dyDescent="0.2">
      <c r="A54" s="6" t="s">
        <v>164</v>
      </c>
    </row>
    <row r="55" spans="1:5" x14ac:dyDescent="0.2">
      <c r="A55" s="6" t="s">
        <v>100</v>
      </c>
      <c r="B55">
        <v>1</v>
      </c>
      <c r="C55" s="61" t="s">
        <v>105</v>
      </c>
      <c r="D55" s="61"/>
      <c r="E55" s="61"/>
    </row>
    <row r="56" spans="1:5" x14ac:dyDescent="0.2">
      <c r="A56" s="6" t="s">
        <v>101</v>
      </c>
      <c r="C56" s="61" t="s">
        <v>105</v>
      </c>
      <c r="D56" s="61"/>
      <c r="E56" s="61"/>
    </row>
    <row r="57" spans="1:5" x14ac:dyDescent="0.2">
      <c r="A57" s="6" t="s">
        <v>98</v>
      </c>
      <c r="C57" s="44" t="s">
        <v>167</v>
      </c>
      <c r="D57" s="45"/>
      <c r="E57" s="45"/>
    </row>
    <row r="58" spans="1:5" hidden="1" x14ac:dyDescent="0.2">
      <c r="A58" s="6"/>
      <c r="C58" s="45"/>
      <c r="D58" s="45"/>
      <c r="E58" s="45"/>
    </row>
    <row r="59" spans="1:5" x14ac:dyDescent="0.2">
      <c r="A59" s="6" t="s">
        <v>165</v>
      </c>
      <c r="C59" s="61" t="s">
        <v>105</v>
      </c>
      <c r="D59" s="61"/>
      <c r="E59" s="61"/>
    </row>
    <row r="60" spans="1:5" x14ac:dyDescent="0.2">
      <c r="A60" s="6" t="s">
        <v>168</v>
      </c>
      <c r="C60" s="61" t="s">
        <v>105</v>
      </c>
      <c r="D60" s="61"/>
      <c r="E60" s="61"/>
    </row>
    <row r="61" spans="1:5" x14ac:dyDescent="0.2">
      <c r="A61" s="6" t="s">
        <v>169</v>
      </c>
      <c r="C61" s="61" t="s">
        <v>170</v>
      </c>
      <c r="D61" s="61"/>
      <c r="E61" s="61"/>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94</v>
      </c>
      <c r="B1" s="63"/>
      <c r="C1" s="64"/>
      <c r="D1" s="64"/>
      <c r="E1" s="65"/>
    </row>
    <row r="2" spans="1:5" x14ac:dyDescent="0.2">
      <c r="A2" s="66" t="s">
        <v>95</v>
      </c>
      <c r="B2" s="67"/>
      <c r="C2" s="19"/>
      <c r="D2" s="18" t="s">
        <v>96</v>
      </c>
      <c r="E2" s="20"/>
    </row>
    <row r="3" spans="1:5" x14ac:dyDescent="0.2">
      <c r="A3" s="66" t="s">
        <v>97</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4"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31" sqref="B31"/>
    </sheetView>
  </sheetViews>
  <sheetFormatPr defaultRowHeight="12.75" x14ac:dyDescent="0.2"/>
  <cols>
    <col min="1" max="1" width="12.7109375" bestFit="1" customWidth="1"/>
    <col min="2" max="2" width="96.140625" style="6" bestFit="1" customWidth="1"/>
  </cols>
  <sheetData>
    <row r="1" spans="1:2" x14ac:dyDescent="0.2">
      <c r="A1" s="6" t="s">
        <v>68</v>
      </c>
      <c r="B1" s="6" t="s">
        <v>69</v>
      </c>
    </row>
    <row r="2" spans="1:2" x14ac:dyDescent="0.2">
      <c r="A2" s="6">
        <v>1</v>
      </c>
      <c r="B2" s="6" t="s">
        <v>102</v>
      </c>
    </row>
    <row r="3" spans="1:2" x14ac:dyDescent="0.2">
      <c r="A3" s="6">
        <v>2</v>
      </c>
      <c r="B3" s="6" t="s">
        <v>103</v>
      </c>
    </row>
    <row r="4" spans="1:2" x14ac:dyDescent="0.2">
      <c r="A4" s="6">
        <v>3</v>
      </c>
      <c r="B4" s="6" t="s">
        <v>104</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topLeftCell="A6" workbookViewId="0">
      <selection activeCell="I37" sqref="I37"/>
    </sheetView>
  </sheetViews>
  <sheetFormatPr defaultRowHeight="12.75" x14ac:dyDescent="0.2"/>
  <sheetData>
    <row r="1" spans="1:12" ht="17.25" customHeight="1" x14ac:dyDescent="0.2">
      <c r="A1" s="73" t="s">
        <v>172</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2</xdr:col>
                    <xdr:colOff>57150</xdr:colOff>
                    <xdr:row>17</xdr:row>
                    <xdr:rowOff>104775</xdr:rowOff>
                  </from>
                  <to>
                    <xdr:col>3</xdr:col>
                    <xdr:colOff>342900</xdr:colOff>
                    <xdr:row>21</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18</vt:i4>
      </vt:variant>
    </vt:vector>
  </HeadingPairs>
  <TitlesOfParts>
    <vt:vector size="30" baseType="lpstr">
      <vt:lpstr>Dashboard</vt: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Codes!Password</vt:lpstr>
      <vt:lpstr>Customers!Password</vt:lpstr>
      <vt:lpstr>Password</vt:lpstr>
      <vt:lpstr>CreatedByAlexFare!Print_Area</vt:lpstr>
      <vt:lpstr>Status_List</vt:lpstr>
      <vt:lpstr>Customers!UserCombinations</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2023-04-11T11:40:21Z</dcterms:modified>
  <cp:category/>
  <cp:contentStatus/>
</cp:coreProperties>
</file>