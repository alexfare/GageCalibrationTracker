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3/"/>
    </mc:Choice>
  </mc:AlternateContent>
  <xr:revisionPtr revIDLastSave="4577" documentId="13_ncr:1_{E381FBEA-788E-41F3-B1D0-E62A56D6F542}" xr6:coauthVersionLast="47" xr6:coauthVersionMax="47" xr10:uidLastSave="{834281A1-4785-42A6-BCA1-E13D72DD8DAB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<sst xmlns="http://schemas.openxmlformats.org/spreadsheetml/2006/main" count="284" uniqueCount="213">
  <si>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</si>
  <si>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</si>
  <si>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</si>
  <si>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</si>
  <si>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</si>
  <si>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</si>
  <si>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</si>
  <si>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</si>
  <si>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</si>
  <si>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</si>
  <si>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</si>
  <si>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</si>
  <si>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</si>
  <si>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</si>
  <si>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</si>
  <si>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</si>
  <si>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</si>
  <si>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</si>
  <si>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</si>
  <si>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</si>
  <si>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</si>
  <si>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</si>
  <si>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</si>
  <si>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</si>
  <si>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</si>
  <si>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</si>
  <si>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</si>
  <si>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</si>
  <si>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</si>
  <si>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</si>
  <si>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</si>
  <si>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</si>
  <si>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</si>
  <si>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</si>
  <si>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</si>
  <si>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</si>
  <si>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</si>
  <si>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</si>
  <si>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</si>
  <si>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</si>
  <si>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</si>
  <si>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</si>
  <si>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</si>
  <si>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</si>
  <si>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</si>
  <si>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</si>
  <si>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</si>
  <si>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</si>
  <si>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</si>
  <si>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</si>
  <si>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</si>
  <si>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</si>
  <si>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</si>
  <si>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</si>
  <si>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</si>
  <si>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</si>
  <si>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</si>
  <si>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</si>
  <si>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</si>
  <si>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</si>
  <si>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</si>
  <si>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</si>
  <si>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</si>
  <si>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</si>
  <si>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</si>
  <si>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</si>
  <si>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</si>
  <si>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</si>
  <si>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</si>
  <si>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</si>
  <si>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</si>
  <si>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</si>
  <si>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</si>
  <si>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</si>
  <si>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</si>
  <si>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</si>
  <si>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</si>
  <si>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</si>
  <si>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</si>
  <si>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</si>
  <si>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</si>
  <si>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</si>
  <si>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</si>
  <si>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</si>
  <si>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</si>
  <si>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</si>
  <si>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</si>
  <si>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</si>
  <si>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</si>
  <si>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</si>
  <si>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</si>
  <si>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</si>
  <si>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</si>
  <si>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</si>
  <si>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</si>
  <si>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</si>
  <si>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</si>
  <si>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</si>
  <si>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</si>
  <si>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</si>
  <si>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</si>
  <si>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</si>
  <si>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</si>
  <si>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</si>
  <si>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</si>
  <si>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</si>
  <si>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</si>
  <si>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</si>
  <si>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</si>
  <si>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</si>
  <si>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</si>
  <si>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</si>
  <si>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</si>
  <si>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</si>
  <si>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</si>
  <si>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</si>
  <si>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</si>
  <si>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</si>
  <si>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</si>
  <si>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</si>
  <si>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</si>
  <si>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</si>
  <si>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</si>
  <si>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</si>
  <si>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</si>
  <si>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</si>
  <si>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</si>
  <si>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</si>
  <si>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</si>
  <si>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</si>
  <si>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</si>
  <si>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</si>
  <si>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</si>
  <si>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</si>
  <si>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</si>
  <si>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</si>
  <si>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</si>
  <si>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</si>
  <si>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</si>
  <si>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</si>
  <si>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</si>
  <si>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</si>
  <si>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</si>
  <si>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</si>
  <si>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</si>
  <si>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</si>
  <si>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</si>
  <si>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</si>
  <si>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</si>
  <si>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</si>
  <si>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</si>
  <si>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</si>
  <si>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</si>
  <si>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</si>
  <si>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</si>
  <si>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</si>
  <si>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</si>
  <si>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</si>
  <si>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</si>
  <si>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</si>
  <si>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</si>
  <si>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</si>
  <si>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</si>
  <si>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</si>
  <si>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</si>
  <si>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</si>
  <si>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</si>
  <si>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</si>
  <si>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</si>
  <si>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</si>
  <si>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</si>
  <si>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</si>
  <si>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</si>
  <si>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</si>
  <si>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</si>
  <si>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</si>
  <si>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</si>
  <si>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</si>
  <si>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</si>
  <si>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</si>
  <si>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</si>
  <si>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</si>
  <si>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</si>
  <si>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</si>
  <si>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</si>
  <si>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</si>
  <si>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</si>
  <si>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</si>
  <si>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</si>
  <si>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</si>
  <si>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</si>
  <si>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</si>
  <si>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</si>
  <si>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</si>
  <si>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</si>
  <si>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</si>
  <si>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</si>
  <si>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</si>
  <si>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</si>
  <si>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</si>
  <si>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</si>
  <si>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</si>
  <si>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</si>
  <si>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</si>
  <si>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</si>
  <si>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</si>
  <si>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</si>
  <si>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</si>
  <si>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</si>
  <si>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</si>
  <si>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</si>
  <si>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v4.6.3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</si>
  <si>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_x000D_
 | Date: 2/12/2024 7:01:13 AM_x000D_
 User: Alex Fare_x000D_
 Action: Searched | _x000D_
 _x000D_
 | Date: 2/13/2024 9:16:27 AM_x000D_
 User: Alex Fare_x000D_
 Action: Searched | _x000D_
 _x000D_
 | Date: 2/13/2024 9:16:33 AM_x000D_
 User: Alex Fare_x000D_
 Action: Searched | _x000D_
 _x000D_
 | Date: 2/13/2024 9:17:14 AM_x000D_
 User: Alex Fare_x000D_
 Action: Searched | _x000D_
 _x000D_
 | Date: 2/15/2024 8:02:38 AM_x000D_
 User: Alex Fare_x000D_
 Action: Searched | _x000D_
 _x000D_
 | Date: 2/15/2024 8:02:57 AM_x000D_
 User: Alex Fare_x000D_
 Action: Updated Gage | _x000D_
 _x000D_
 | Date: 2/15/2024 8:02:59 AM_x000D_
 User: Alex Fare_x000D_
 Action: Searched | _x000D_
 _x000D_
 | Date: 2/15/2024 8:03:15 AM_x000D_
 User: Alex Fare_x000D_
 Action: Searched | _x000D_
 _x000D_
 | Date: 2/15/2024 8:03:21 AM_x000D_
 User: Alex Fare_x000D_
 Action: Updated Gage | _x000D_
 _x000D_
 | Date: 2/15/2024 8:03:23 AM_x000D_
 User: Alex Fare_x000D_
 Action: Searched | _x000D_
 _x000D_
 | Date: 2/15/2024 8:03:47 AM_x000D_
 User: Alex Fare_x000D_
 Action: Searched | _x000D_
 _x000D_
 | Date: 2/19/2024 6:24:25 AM_x000D_
 User: Alex Fare_x000D_
 Action: Searched | _x000D_
 _x000D_
 | Date: 2/19/2024 6:25:05 AM_x000D_
 User: Alex Fare_x000D_
 Action: Updated Gage | _x000D_
 _x000D_
 | Date: 2/19/2024 6:25:07 AM_x000D_
 User: Alex Fare_x000D_
 Action: Searched | _x000D_
 _x000D_
 | Date: 2/19/2024 6:25:39 AM_x000D_
 User: Alex Fare_x000D_
 Action: Updated Gage | _x000D_
 _x000D_
 | Date: 2/19/2024 6:25:41 AM_x000D_
 User: Alex Fare_x000D_
 Action: Searched | _x000D_
 _x000D_
 | Date: 2/19/2024 6:25:45 AM_x000D_
 User: Alex Fare_x000D_
 Action: Updated Gage | _x000D_
 _x000D_
 | Date: 2/19/2024 6:25:47 AM_x000D_
 User: Alex Fare_x000D_
 Action: Searched | _x000D_
 _x000D_
 | Date: 2/19/2024 6:26:01 AM_x000D_
 User: Alex Fare_x000D_
 Action: Searched | _x000D_
 _x000D_
 | Date: 2/19/2024 6:26:31 AM_x000D_
 User: Alex Fare_x000D_
 Action: Searched | _x000D_
 _x000D_
 | Date: 2/19/2024 6:27:03 AM_x000D_
 User: Alex Fare_x000D_
 Action: Searched | _x000D_
 _x000D_
 | Date: 2/19/2024 10:34:56 AM_x000D_
 User: Alex Fare_x000D_
 Action: Searched | _x000D_
 _x000D_
 | Date: 2/19/2024 10:41:23 AM_x000D_
 User: Alex Fare_x000D_
 Action: Searched | _x000D_
 _x000D_
 | Date: 2/19/2024 10:45:39 AM_x000D_
 User: Alex Fare_x000D_
 Action: Searched | _x000D_
 _x000D_
 | Date: 2/19/2024 2:38:26 PM_x000D_
 User: Alex Fare_x000D_
 Action: Searched | _x000D_
 _x000D_
 | Date: 2/19/2024 2:38:52 PM_x000D_
 User: Alex Fare_x000D_
 Action: Updated Gage | _x000D_
 _x000D_
 | Date: 2/19/2024 2:38:54 PM_x000D_
 User: Alex Fare_x000D_
 Action: Searched | _x000D_
 _x000D_
 | Date: 2/19/2024 2:39:15 PM_x000D_
 User: Alex Fare_x000D_
 Action: Updated Gage | _x000D_
 _x000D_
 | Date: 2/19/2024 2:39:17 PM_x000D_
 User: Alex Fare_x000D_
 Action: Searched | _x000D_
 _x000D_
 | Date: 2/19/2024 2:39:27 PM_x000D_
 User: Alex Fare_x000D_
 Action: Searched | _x000D_
 _x000D_
 | Date: 2/19/2024 2:39:34 PM_x000D_
 User: Alex Fare_x000D_
 Action: Searched | _x000D_
 _x000D_
 | Date: 2/19/2024 2:42:56 PM_x000D_
 User: Alex Fare_x000D_
 Action: Searched | _x000D_
 _x000D_
 | Date: 2/20/2024 7:13:35 AM_x000D_
 User: Alex Fare_x000D_
 Action: Searched | _x000D_
 _x000D_
 | Date: 2/20/2024 7:13:58 AM_x000D_
 User: Alex Fare_x000D_
 Action: Searched | _x000D_
 _x000D_
 | Date: 2/27/2024 1:23:04 PM_x000D_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</si>
</sst>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1" sqref="B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9" customWidth="1"/>
    <col min="7" max="7" width="17.7109375" style="39" customWidth="1"/>
    <col min="8" max="8" width="15" style="3" bestFit="1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10" hidden="1" customWidth="1"/>
    <col min="38" max="38" width="15.42578125" style="10" hidden="1" customWidth="1"/>
    <col min="39" max="39" width="25.28515625" style="10" hidden="1" customWidth="1"/>
    <col min="40" max="40" width="14.5703125" style="1" hidden="1" customWidth="1"/>
    <col min="41" max="41" width="1.42578125" style="1" hidden="1" customWidth="1"/>
    <col min="42" max="42" width="41.5703125" style="32" customWidth="1"/>
    <col min="43" max="16384" width="14.5703125" style="1"/>
  </cols>
  <sheetData>
    <row r="1" spans="1:64" ht="60" x14ac:dyDescent="0.2">
      <c r="A1" s="53"/>
      <c r="B1" s="54" t="s">
        <v>0</v>
      </c>
      <c r="C1" s="55"/>
      <c r="D1" s="55"/>
      <c r="E1" s="55"/>
      <c r="F1" s="55"/>
      <c r="G1" s="55"/>
      <c r="H1" s="56"/>
      <c r="I1" s="57">
        <f ca="1">TODAY()</f>
        <v>45349</v>
      </c>
      <c r="J1" s="58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 t="s">
        <v>211</v>
      </c>
      <c r="BL1" s="1" t="s">
        <v>208</v>
      </c>
    </row>
    <row r="2" spans="1:64" s="2" customFormat="1" ht="44.25" customHeight="1" x14ac:dyDescent="0.2">
      <c r="A2" s="25" t="s">
        <v>1</v>
      </c>
      <c r="B2" s="25" t="s">
        <v>2</v>
      </c>
      <c r="C2" s="25" t="s">
        <v>3</v>
      </c>
      <c r="D2" s="25" t="s">
        <v>4</v>
      </c>
      <c r="E2" s="25" t="s">
        <v>5</v>
      </c>
      <c r="F2" s="26" t="s">
        <v>6</v>
      </c>
      <c r="G2" s="27" t="s">
        <v>7</v>
      </c>
      <c r="H2" s="25" t="s">
        <v>8</v>
      </c>
      <c r="I2" s="25" t="s">
        <v>9</v>
      </c>
      <c r="J2" s="25" t="s">
        <v>10</v>
      </c>
      <c r="K2" s="28" t="s">
        <v>190</v>
      </c>
      <c r="L2" s="29" t="s">
        <v>191</v>
      </c>
      <c r="M2" s="28" t="s">
        <v>194</v>
      </c>
      <c r="N2" s="28" t="s">
        <v>197</v>
      </c>
      <c r="O2" s="28" t="s">
        <v>11</v>
      </c>
      <c r="P2" s="28" t="s">
        <v>12</v>
      </c>
      <c r="Q2" s="28" t="s">
        <v>13</v>
      </c>
      <c r="R2" s="28" t="s">
        <v>14</v>
      </c>
      <c r="S2" s="28" t="s">
        <v>15</v>
      </c>
      <c r="T2" s="28" t="s">
        <v>16</v>
      </c>
      <c r="U2" s="28" t="s">
        <v>17</v>
      </c>
      <c r="V2" s="28" t="s">
        <v>18</v>
      </c>
      <c r="W2" s="28" t="s">
        <v>19</v>
      </c>
      <c r="X2" s="28" t="s">
        <v>20</v>
      </c>
      <c r="Y2" s="28" t="s">
        <v>21</v>
      </c>
      <c r="Z2" s="30" t="s">
        <v>22</v>
      </c>
      <c r="AA2" s="28" t="s">
        <v>23</v>
      </c>
      <c r="AB2" s="28" t="s">
        <v>24</v>
      </c>
      <c r="AC2" s="28" t="s">
        <v>25</v>
      </c>
      <c r="AD2" s="28" t="s">
        <v>26</v>
      </c>
      <c r="AE2" s="28" t="s">
        <v>27</v>
      </c>
      <c r="AF2" s="28" t="s">
        <v>28</v>
      </c>
      <c r="AG2" s="28" t="s">
        <v>29</v>
      </c>
      <c r="AH2" s="28" t="s">
        <v>30</v>
      </c>
      <c r="AI2" s="28" t="s">
        <v>31</v>
      </c>
      <c r="AJ2" s="28" t="s">
        <v>32</v>
      </c>
      <c r="AK2" s="29" t="s">
        <v>33</v>
      </c>
      <c r="AL2" s="29" t="s">
        <v>34</v>
      </c>
      <c r="AM2" s="29" t="s">
        <v>35</v>
      </c>
      <c r="AN2" s="28" t="s">
        <v>36</v>
      </c>
      <c r="AO2" s="28" t="s">
        <v>107</v>
      </c>
      <c r="AP2" s="33"/>
    </row>
    <row r="3" spans="1:64" s="7" customFormat="1" ht="16.350000000000001" customHeight="1" x14ac:dyDescent="0.2">
      <c r="A3" s="8"/>
      <c r="B3" s="8"/>
      <c r="C3" s="8"/>
      <c r="D3" s="8"/>
      <c r="E3" s="8"/>
      <c r="F3" s="9"/>
      <c r="G3" s="52"/>
      <c r="H3" s="8"/>
      <c r="I3" s="8"/>
      <c r="J3" s="19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5"/>
      <c r="AL3" s="35"/>
      <c r="AM3" s="35"/>
      <c r="AN3" s="34"/>
      <c r="AO3" s="34"/>
      <c r="AP3" s="32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9" hidden="1" customWidth="1"/>
    <col min="7" max="7" width="41.5703125" style="32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5" t="s">
        <v>201</v>
      </c>
      <c r="B2" s="25" t="s">
        <v>202</v>
      </c>
      <c r="C2" s="25" t="s">
        <v>203</v>
      </c>
      <c r="D2" s="25" t="s">
        <v>204</v>
      </c>
      <c r="E2" s="25" t="s">
        <v>11</v>
      </c>
      <c r="F2" s="26" t="s">
        <v>12</v>
      </c>
      <c r="G2" s="33"/>
    </row>
    <row r="3" spans="1:7" s="7" customFormat="1" ht="16.350000000000001" customHeight="1" x14ac:dyDescent="0.2">
      <c r="A3" s="3"/>
      <c r="B3" s="3"/>
      <c r="C3" s="3"/>
      <c r="D3" s="3"/>
      <c r="E3" s="3"/>
      <c r="F3" s="39"/>
      <c r="G3" s="32"/>
    </row>
    <row r="4" spans="1:7" s="7" customFormat="1" ht="16.350000000000001" customHeight="1" x14ac:dyDescent="0.2">
      <c r="A4" s="3"/>
      <c r="B4" s="3"/>
      <c r="C4" s="3"/>
      <c r="D4" s="3"/>
      <c r="E4" s="3"/>
      <c r="F4" s="39"/>
      <c r="G4" s="32"/>
    </row>
    <row r="5" spans="1:7" s="7" customFormat="1" ht="16.350000000000001" customHeight="1" x14ac:dyDescent="0.2">
      <c r="A5" s="3"/>
      <c r="B5" s="3"/>
      <c r="C5" s="3"/>
      <c r="D5" s="3"/>
      <c r="E5" s="3"/>
      <c r="F5" s="39"/>
      <c r="G5" s="32"/>
    </row>
    <row r="6" spans="1:7" s="7" customFormat="1" ht="16.350000000000001" customHeight="1" x14ac:dyDescent="0.2">
      <c r="A6" s="3"/>
      <c r="B6" s="3"/>
      <c r="C6" s="3"/>
      <c r="D6" s="3"/>
      <c r="E6" s="3"/>
      <c r="F6" s="39"/>
      <c r="G6" s="32"/>
    </row>
    <row r="7" spans="1:7" s="7" customFormat="1" ht="16.350000000000001" customHeight="1" x14ac:dyDescent="0.2">
      <c r="A7" s="3"/>
      <c r="B7" s="3"/>
      <c r="C7" s="3"/>
      <c r="D7" s="3"/>
      <c r="E7" s="3"/>
      <c r="F7" s="39"/>
      <c r="G7" s="32"/>
    </row>
    <row r="8" spans="1:7" s="7" customFormat="1" ht="16.350000000000001" customHeight="1" x14ac:dyDescent="0.2">
      <c r="A8" s="3"/>
      <c r="B8" s="3"/>
      <c r="C8" s="3"/>
      <c r="D8" s="3"/>
      <c r="E8" s="3"/>
      <c r="F8" s="39"/>
      <c r="G8" s="32"/>
    </row>
    <row r="9" spans="1:7" s="7" customFormat="1" ht="16.350000000000001" customHeight="1" x14ac:dyDescent="0.2">
      <c r="A9" s="3"/>
      <c r="B9" s="3"/>
      <c r="C9" s="3"/>
      <c r="D9" s="3"/>
      <c r="E9" s="3"/>
      <c r="F9" s="39"/>
      <c r="G9" s="32"/>
    </row>
    <row r="10" spans="1:7" s="7" customFormat="1" ht="16.350000000000001" customHeight="1" x14ac:dyDescent="0.2">
      <c r="A10" s="3"/>
      <c r="B10" s="3"/>
      <c r="C10" s="3"/>
      <c r="D10" s="3"/>
      <c r="E10" s="3"/>
      <c r="F10" s="39"/>
      <c r="G10" s="32"/>
    </row>
    <row r="11" spans="1:7" s="7" customFormat="1" ht="16.350000000000001" customHeight="1" x14ac:dyDescent="0.2">
      <c r="A11" s="3"/>
      <c r="B11" s="3"/>
      <c r="C11" s="3"/>
      <c r="D11" s="3"/>
      <c r="E11" s="3"/>
      <c r="F11" s="39"/>
      <c r="G11" s="32"/>
    </row>
    <row r="12" spans="1:7" s="7" customFormat="1" ht="16.350000000000001" customHeight="1" x14ac:dyDescent="0.2">
      <c r="A12" s="3"/>
      <c r="B12" s="3"/>
      <c r="C12" s="3"/>
      <c r="D12" s="3"/>
      <c r="E12" s="3"/>
      <c r="F12" s="39"/>
      <c r="G12" s="32"/>
    </row>
    <row r="13" spans="1:7" s="7" customFormat="1" ht="16.350000000000001" customHeight="1" x14ac:dyDescent="0.2">
      <c r="A13" s="3"/>
      <c r="B13" s="3"/>
      <c r="C13" s="3"/>
      <c r="D13" s="3"/>
      <c r="E13" s="3"/>
      <c r="F13" s="39"/>
      <c r="G13" s="32"/>
    </row>
    <row r="14" spans="1:7" s="7" customFormat="1" ht="16.350000000000001" customHeight="1" x14ac:dyDescent="0.2">
      <c r="A14" s="3"/>
      <c r="B14" s="3"/>
      <c r="C14" s="3"/>
      <c r="D14" s="3"/>
      <c r="E14" s="3"/>
      <c r="F14" s="39"/>
      <c r="G14" s="32"/>
    </row>
    <row r="15" spans="1:7" s="7" customFormat="1" ht="16.350000000000001" customHeight="1" x14ac:dyDescent="0.2">
      <c r="A15" s="3"/>
      <c r="B15" s="3"/>
      <c r="C15" s="3"/>
      <c r="D15" s="3"/>
      <c r="E15" s="3"/>
      <c r="F15" s="39"/>
      <c r="G15" s="32"/>
    </row>
    <row r="16" spans="1:7" s="7" customFormat="1" ht="16.350000000000001" customHeight="1" x14ac:dyDescent="0.2">
      <c r="A16" s="3"/>
      <c r="B16" s="3"/>
      <c r="C16" s="3"/>
      <c r="D16" s="3"/>
      <c r="E16" s="3"/>
      <c r="F16" s="39"/>
      <c r="G16" s="32"/>
    </row>
    <row r="17" spans="1:7" s="7" customFormat="1" ht="16.350000000000001" customHeight="1" x14ac:dyDescent="0.2">
      <c r="A17" s="3"/>
      <c r="B17" s="3"/>
      <c r="C17" s="3"/>
      <c r="D17" s="3"/>
      <c r="E17" s="3"/>
      <c r="F17" s="39"/>
      <c r="G17" s="32"/>
    </row>
    <row r="18" spans="1:7" s="7" customFormat="1" ht="16.350000000000001" customHeight="1" x14ac:dyDescent="0.2">
      <c r="A18" s="3"/>
      <c r="B18" s="3"/>
      <c r="C18" s="3"/>
      <c r="D18" s="3"/>
      <c r="E18" s="3"/>
      <c r="F18" s="39"/>
      <c r="G18" s="32"/>
    </row>
    <row r="19" spans="1:7" s="7" customFormat="1" ht="16.350000000000001" customHeight="1" x14ac:dyDescent="0.2">
      <c r="A19" s="3"/>
      <c r="B19" s="3"/>
      <c r="C19" s="3"/>
      <c r="D19" s="3"/>
      <c r="E19" s="3"/>
      <c r="F19" s="39"/>
      <c r="G19" s="32"/>
    </row>
    <row r="20" spans="1:7" s="7" customFormat="1" ht="16.350000000000001" customHeight="1" x14ac:dyDescent="0.2">
      <c r="A20" s="3"/>
      <c r="B20" s="3"/>
      <c r="C20" s="3"/>
      <c r="D20" s="3"/>
      <c r="E20" s="3"/>
      <c r="F20" s="39"/>
      <c r="G20" s="32"/>
    </row>
    <row r="21" spans="1:7" s="7" customFormat="1" ht="16.350000000000001" customHeight="1" x14ac:dyDescent="0.2">
      <c r="A21" s="3"/>
      <c r="B21" s="3"/>
      <c r="C21" s="3"/>
      <c r="D21" s="3"/>
      <c r="E21" s="3"/>
      <c r="F21" s="39"/>
      <c r="G21" s="32"/>
    </row>
    <row r="22" spans="1:7" s="7" customFormat="1" ht="16.350000000000001" customHeight="1" x14ac:dyDescent="0.2">
      <c r="A22" s="3"/>
      <c r="B22" s="3"/>
      <c r="C22" s="3"/>
      <c r="D22" s="3"/>
      <c r="E22" s="3"/>
      <c r="F22" s="39"/>
      <c r="G22" s="32"/>
    </row>
    <row r="23" spans="1:7" s="7" customFormat="1" ht="16.350000000000001" customHeight="1" x14ac:dyDescent="0.2">
      <c r="A23" s="3"/>
      <c r="B23" s="3"/>
      <c r="C23" s="3"/>
      <c r="D23" s="3"/>
      <c r="E23" s="3"/>
      <c r="F23" s="39"/>
      <c r="G23" s="32"/>
    </row>
    <row r="24" spans="1:7" s="7" customFormat="1" ht="16.350000000000001" customHeight="1" x14ac:dyDescent="0.2">
      <c r="A24" s="3"/>
      <c r="B24" s="3"/>
      <c r="C24" s="3"/>
      <c r="D24" s="3"/>
      <c r="E24" s="3"/>
      <c r="F24" s="39"/>
      <c r="G24" s="32"/>
    </row>
    <row r="25" spans="1:7" s="7" customFormat="1" ht="16.350000000000001" customHeight="1" x14ac:dyDescent="0.2">
      <c r="A25" s="3"/>
      <c r="B25" s="3"/>
      <c r="C25" s="3"/>
      <c r="D25" s="3"/>
      <c r="E25" s="3"/>
      <c r="F25" s="39"/>
      <c r="G25" s="32"/>
    </row>
    <row r="26" spans="1:7" s="7" customFormat="1" ht="16.350000000000001" customHeight="1" x14ac:dyDescent="0.2">
      <c r="A26" s="3"/>
      <c r="B26" s="3"/>
      <c r="C26" s="3"/>
      <c r="D26" s="3"/>
      <c r="E26" s="3"/>
      <c r="F26" s="39"/>
      <c r="G26" s="32"/>
    </row>
    <row r="27" spans="1:7" s="7" customFormat="1" ht="16.350000000000001" customHeight="1" x14ac:dyDescent="0.2">
      <c r="A27" s="3"/>
      <c r="B27" s="3"/>
      <c r="C27" s="3"/>
      <c r="D27" s="3"/>
      <c r="E27" s="3"/>
      <c r="F27" s="39"/>
      <c r="G27" s="32"/>
    </row>
    <row r="28" spans="1:7" s="7" customFormat="1" ht="16.350000000000001" customHeight="1" x14ac:dyDescent="0.2">
      <c r="A28" s="3"/>
      <c r="B28" s="3"/>
      <c r="C28" s="3"/>
      <c r="D28" s="3"/>
      <c r="E28" s="3"/>
      <c r="F28" s="39"/>
      <c r="G28" s="32"/>
    </row>
    <row r="29" spans="1:7" s="7" customFormat="1" ht="16.350000000000001" customHeight="1" x14ac:dyDescent="0.2">
      <c r="A29" s="3"/>
      <c r="B29" s="3"/>
      <c r="C29" s="3"/>
      <c r="D29" s="3"/>
      <c r="E29" s="3"/>
      <c r="F29" s="39"/>
      <c r="G29" s="32"/>
    </row>
    <row r="30" spans="1:7" s="7" customFormat="1" ht="16.350000000000001" customHeight="1" x14ac:dyDescent="0.2">
      <c r="A30" s="3"/>
      <c r="B30" s="3"/>
      <c r="C30" s="3"/>
      <c r="D30" s="3"/>
      <c r="E30" s="3"/>
      <c r="F30" s="39"/>
      <c r="G30" s="32"/>
    </row>
    <row r="31" spans="1:7" s="7" customFormat="1" ht="16.350000000000001" customHeight="1" x14ac:dyDescent="0.2">
      <c r="A31" s="3"/>
      <c r="B31" s="3"/>
      <c r="C31" s="3"/>
      <c r="D31" s="3"/>
      <c r="E31" s="3"/>
      <c r="F31" s="39"/>
      <c r="G31" s="32"/>
    </row>
    <row r="32" spans="1:7" s="7" customFormat="1" ht="16.350000000000001" customHeight="1" x14ac:dyDescent="0.2">
      <c r="A32" s="3"/>
      <c r="B32" s="3"/>
      <c r="C32" s="3"/>
      <c r="D32" s="3"/>
      <c r="E32" s="3"/>
      <c r="F32" s="39"/>
      <c r="G32" s="32"/>
    </row>
    <row r="33" spans="1:7" s="7" customFormat="1" ht="16.350000000000001" customHeight="1" x14ac:dyDescent="0.2">
      <c r="A33" s="3"/>
      <c r="B33" s="3"/>
      <c r="C33" s="3"/>
      <c r="D33" s="3"/>
      <c r="E33" s="3"/>
      <c r="F33" s="39"/>
      <c r="G33" s="32"/>
    </row>
    <row r="34" spans="1:7" s="7" customFormat="1" ht="16.350000000000001" customHeight="1" x14ac:dyDescent="0.2">
      <c r="A34" s="3"/>
      <c r="B34" s="3"/>
      <c r="C34" s="3"/>
      <c r="D34" s="3"/>
      <c r="E34" s="3"/>
      <c r="F34" s="39"/>
      <c r="G34" s="32"/>
    </row>
    <row r="35" spans="1:7" s="7" customFormat="1" ht="16.350000000000001" customHeight="1" x14ac:dyDescent="0.2">
      <c r="A35" s="3"/>
      <c r="B35" s="3"/>
      <c r="C35" s="3"/>
      <c r="D35" s="3"/>
      <c r="E35" s="3"/>
      <c r="F35" s="39"/>
      <c r="G35" s="32"/>
    </row>
    <row r="36" spans="1:7" s="7" customFormat="1" ht="16.350000000000001" customHeight="1" x14ac:dyDescent="0.2">
      <c r="A36" s="3"/>
      <c r="B36" s="3"/>
      <c r="C36" s="3"/>
      <c r="D36" s="3"/>
      <c r="E36" s="3"/>
      <c r="F36" s="39"/>
      <c r="G36" s="32"/>
    </row>
    <row r="37" spans="1:7" s="7" customFormat="1" ht="16.350000000000001" customHeight="1" x14ac:dyDescent="0.2">
      <c r="A37" s="3"/>
      <c r="B37" s="3"/>
      <c r="C37" s="3"/>
      <c r="D37" s="3"/>
      <c r="E37" s="3"/>
      <c r="F37" s="39"/>
      <c r="G37" s="32"/>
    </row>
    <row r="38" spans="1:7" s="7" customFormat="1" ht="16.350000000000001" customHeight="1" x14ac:dyDescent="0.2">
      <c r="A38" s="3"/>
      <c r="B38" s="3"/>
      <c r="C38" s="3"/>
      <c r="D38" s="3"/>
      <c r="E38" s="3"/>
      <c r="F38" s="39"/>
      <c r="G38" s="32"/>
    </row>
    <row r="39" spans="1:7" s="7" customFormat="1" ht="16.350000000000001" customHeight="1" x14ac:dyDescent="0.2">
      <c r="A39" s="3"/>
      <c r="B39" s="3"/>
      <c r="C39" s="3"/>
      <c r="D39" s="3"/>
      <c r="E39" s="3"/>
      <c r="F39" s="39"/>
      <c r="G39" s="32"/>
    </row>
    <row r="40" spans="1:7" s="7" customFormat="1" ht="16.350000000000001" customHeight="1" x14ac:dyDescent="0.2">
      <c r="A40" s="3"/>
      <c r="B40" s="3"/>
      <c r="C40" s="3"/>
      <c r="D40" s="3"/>
      <c r="E40" s="3"/>
      <c r="F40" s="39"/>
      <c r="G40" s="32"/>
    </row>
    <row r="41" spans="1:7" s="7" customFormat="1" ht="16.350000000000001" customHeight="1" x14ac:dyDescent="0.2">
      <c r="A41" s="3"/>
      <c r="B41" s="3"/>
      <c r="C41" s="3"/>
      <c r="D41" s="3"/>
      <c r="E41" s="3"/>
      <c r="F41" s="39"/>
      <c r="G41" s="32"/>
    </row>
    <row r="42" spans="1:7" s="7" customFormat="1" ht="16.350000000000001" customHeight="1" x14ac:dyDescent="0.2">
      <c r="A42" s="3"/>
      <c r="B42" s="3"/>
      <c r="C42" s="3"/>
      <c r="D42" s="3"/>
      <c r="E42" s="3"/>
      <c r="F42" s="39"/>
      <c r="G42" s="32"/>
    </row>
    <row r="43" spans="1:7" s="7" customFormat="1" ht="16.350000000000001" customHeight="1" x14ac:dyDescent="0.2">
      <c r="A43" s="3"/>
      <c r="B43" s="3"/>
      <c r="C43" s="3"/>
      <c r="D43" s="3"/>
      <c r="E43" s="3"/>
      <c r="F43" s="39"/>
      <c r="G43" s="32"/>
    </row>
    <row r="44" spans="1:7" s="7" customFormat="1" ht="16.350000000000001" customHeight="1" x14ac:dyDescent="0.2">
      <c r="A44" s="3"/>
      <c r="B44" s="3"/>
      <c r="C44" s="3"/>
      <c r="D44" s="3"/>
      <c r="E44" s="3"/>
      <c r="F44" s="39"/>
      <c r="G44" s="32"/>
    </row>
    <row r="45" spans="1:7" s="7" customFormat="1" ht="16.350000000000001" customHeight="1" x14ac:dyDescent="0.2">
      <c r="A45" s="3"/>
      <c r="B45" s="3"/>
      <c r="C45" s="3"/>
      <c r="D45" s="3"/>
      <c r="E45" s="3"/>
      <c r="F45" s="39"/>
      <c r="G45" s="32"/>
    </row>
    <row r="46" spans="1:7" s="7" customFormat="1" ht="16.350000000000001" customHeight="1" x14ac:dyDescent="0.2">
      <c r="A46" s="3"/>
      <c r="B46" s="3"/>
      <c r="C46" s="3"/>
      <c r="D46" s="3"/>
      <c r="E46" s="3"/>
      <c r="F46" s="39"/>
      <c r="G46" s="32"/>
    </row>
    <row r="47" spans="1:7" s="7" customFormat="1" ht="16.350000000000001" customHeight="1" x14ac:dyDescent="0.2">
      <c r="A47" s="3"/>
      <c r="B47" s="3"/>
      <c r="C47" s="3"/>
      <c r="D47" s="3"/>
      <c r="E47" s="3"/>
      <c r="F47" s="39"/>
      <c r="G47" s="32"/>
    </row>
    <row r="48" spans="1:7" s="7" customFormat="1" ht="16.350000000000001" customHeight="1" x14ac:dyDescent="0.2">
      <c r="A48" s="3"/>
      <c r="B48" s="3"/>
      <c r="C48" s="3"/>
      <c r="D48" s="3"/>
      <c r="E48" s="3"/>
      <c r="F48" s="39"/>
      <c r="G48" s="32"/>
    </row>
    <row r="49" spans="1:7" s="7" customFormat="1" ht="16.350000000000001" customHeight="1" x14ac:dyDescent="0.2">
      <c r="A49" s="3"/>
      <c r="B49" s="3"/>
      <c r="C49" s="3"/>
      <c r="D49" s="3"/>
      <c r="E49" s="3"/>
      <c r="F49" s="39"/>
      <c r="G49" s="32"/>
    </row>
    <row r="50" spans="1:7" s="7" customFormat="1" ht="16.350000000000001" customHeight="1" x14ac:dyDescent="0.2">
      <c r="A50" s="3"/>
      <c r="B50" s="3"/>
      <c r="C50" s="3"/>
      <c r="D50" s="3"/>
      <c r="E50" s="3"/>
      <c r="F50" s="39"/>
      <c r="G50" s="32"/>
    </row>
    <row r="51" spans="1:7" s="7" customFormat="1" ht="16.350000000000001" customHeight="1" x14ac:dyDescent="0.2">
      <c r="A51" s="3"/>
      <c r="B51" s="3"/>
      <c r="C51" s="3"/>
      <c r="D51" s="3"/>
      <c r="E51" s="3"/>
      <c r="F51" s="39"/>
      <c r="G51" s="32"/>
    </row>
    <row r="52" spans="1:7" s="7" customFormat="1" ht="16.350000000000001" customHeight="1" x14ac:dyDescent="0.2">
      <c r="A52" s="3"/>
      <c r="B52" s="3"/>
      <c r="C52" s="3"/>
      <c r="D52" s="3"/>
      <c r="E52" s="3"/>
      <c r="F52" s="39"/>
      <c r="G52" s="32"/>
    </row>
    <row r="53" spans="1:7" s="7" customFormat="1" ht="16.350000000000001" customHeight="1" x14ac:dyDescent="0.2">
      <c r="A53" s="3"/>
      <c r="B53" s="3"/>
      <c r="C53" s="3"/>
      <c r="D53" s="3"/>
      <c r="E53" s="3"/>
      <c r="F53" s="39"/>
      <c r="G53" s="32"/>
    </row>
    <row r="54" spans="1:7" s="7" customFormat="1" ht="16.350000000000001" customHeight="1" x14ac:dyDescent="0.2">
      <c r="A54" s="3"/>
      <c r="B54" s="3"/>
      <c r="C54" s="3"/>
      <c r="D54" s="3"/>
      <c r="E54" s="3"/>
      <c r="F54" s="39"/>
      <c r="G54" s="32"/>
    </row>
    <row r="55" spans="1:7" s="7" customFormat="1" ht="16.350000000000001" customHeight="1" x14ac:dyDescent="0.2">
      <c r="A55" s="3"/>
      <c r="B55" s="3"/>
      <c r="C55" s="3"/>
      <c r="D55" s="3"/>
      <c r="E55" s="3"/>
      <c r="F55" s="39"/>
      <c r="G55" s="32"/>
    </row>
    <row r="56" spans="1:7" s="7" customFormat="1" ht="16.350000000000001" customHeight="1" x14ac:dyDescent="0.2">
      <c r="A56" s="3"/>
      <c r="B56" s="3"/>
      <c r="C56" s="3"/>
      <c r="D56" s="3"/>
      <c r="E56" s="3"/>
      <c r="F56" s="39"/>
      <c r="G56" s="32"/>
    </row>
    <row r="57" spans="1:7" s="7" customFormat="1" ht="16.350000000000001" customHeight="1" x14ac:dyDescent="0.2">
      <c r="A57" s="3"/>
      <c r="B57" s="3"/>
      <c r="C57" s="3"/>
      <c r="D57" s="3"/>
      <c r="E57" s="3"/>
      <c r="F57" s="39"/>
      <c r="G57" s="32"/>
    </row>
    <row r="58" spans="1:7" s="7" customFormat="1" ht="16.350000000000001" customHeight="1" x14ac:dyDescent="0.2">
      <c r="A58" s="3"/>
      <c r="B58" s="3"/>
      <c r="C58" s="3"/>
      <c r="D58" s="3"/>
      <c r="E58" s="3"/>
      <c r="F58" s="39"/>
      <c r="G58" s="32"/>
    </row>
    <row r="59" spans="1:7" s="7" customFormat="1" ht="16.350000000000001" customHeight="1" x14ac:dyDescent="0.2">
      <c r="A59" s="3"/>
      <c r="B59" s="3"/>
      <c r="C59" s="3"/>
      <c r="D59" s="3"/>
      <c r="E59" s="3"/>
      <c r="F59" s="39"/>
      <c r="G59" s="32"/>
    </row>
    <row r="60" spans="1:7" s="7" customFormat="1" ht="16.350000000000001" customHeight="1" x14ac:dyDescent="0.2">
      <c r="A60" s="3"/>
      <c r="B60" s="3"/>
      <c r="C60" s="3"/>
      <c r="D60" s="3"/>
      <c r="E60" s="3"/>
      <c r="F60" s="39"/>
      <c r="G60" s="32"/>
    </row>
    <row r="61" spans="1:7" s="7" customFormat="1" ht="16.350000000000001" customHeight="1" x14ac:dyDescent="0.2">
      <c r="A61" s="3"/>
      <c r="B61" s="3"/>
      <c r="C61" s="3"/>
      <c r="D61" s="3"/>
      <c r="E61" s="3"/>
      <c r="F61" s="39"/>
      <c r="G61" s="32"/>
    </row>
    <row r="62" spans="1:7" s="7" customFormat="1" ht="16.350000000000001" customHeight="1" x14ac:dyDescent="0.2">
      <c r="A62" s="3"/>
      <c r="B62" s="3"/>
      <c r="C62" s="3"/>
      <c r="D62" s="3"/>
      <c r="E62" s="3"/>
      <c r="F62" s="39"/>
      <c r="G62" s="32"/>
    </row>
    <row r="63" spans="1:7" s="7" customFormat="1" ht="16.350000000000001" customHeight="1" x14ac:dyDescent="0.2">
      <c r="A63" s="3"/>
      <c r="B63" s="3"/>
      <c r="C63" s="3"/>
      <c r="D63" s="3"/>
      <c r="E63" s="3"/>
      <c r="F63" s="39"/>
      <c r="G63" s="32"/>
    </row>
    <row r="64" spans="1:7" s="7" customFormat="1" ht="16.350000000000001" customHeight="1" x14ac:dyDescent="0.2">
      <c r="A64" s="3"/>
      <c r="B64" s="3"/>
      <c r="C64" s="3"/>
      <c r="D64" s="3"/>
      <c r="E64" s="3"/>
      <c r="F64" s="39"/>
      <c r="G64" s="32"/>
    </row>
    <row r="65" spans="1:7" s="7" customFormat="1" ht="16.350000000000001" customHeight="1" x14ac:dyDescent="0.2">
      <c r="A65" s="3"/>
      <c r="B65" s="3"/>
      <c r="C65" s="3"/>
      <c r="D65" s="3"/>
      <c r="E65" s="3"/>
      <c r="F65" s="39"/>
      <c r="G65" s="32"/>
    </row>
    <row r="66" spans="1:7" s="7" customFormat="1" ht="16.350000000000001" customHeight="1" x14ac:dyDescent="0.2">
      <c r="A66" s="3"/>
      <c r="B66" s="3"/>
      <c r="C66" s="3"/>
      <c r="D66" s="3"/>
      <c r="E66" s="3"/>
      <c r="F66" s="39"/>
      <c r="G66" s="32"/>
    </row>
    <row r="67" spans="1:7" s="7" customFormat="1" ht="16.350000000000001" customHeight="1" x14ac:dyDescent="0.2">
      <c r="A67" s="3"/>
      <c r="B67" s="3"/>
      <c r="C67" s="3"/>
      <c r="D67" s="3"/>
      <c r="E67" s="3"/>
      <c r="F67" s="39"/>
      <c r="G67" s="32"/>
    </row>
    <row r="68" spans="1:7" s="7" customFormat="1" ht="16.350000000000001" customHeight="1" x14ac:dyDescent="0.2">
      <c r="A68" s="3"/>
      <c r="B68" s="3"/>
      <c r="C68" s="3"/>
      <c r="D68" s="3"/>
      <c r="E68" s="3"/>
      <c r="F68" s="39"/>
      <c r="G68" s="32"/>
    </row>
    <row r="69" spans="1:7" s="7" customFormat="1" ht="16.350000000000001" customHeight="1" x14ac:dyDescent="0.2">
      <c r="A69" s="3"/>
      <c r="B69" s="3"/>
      <c r="C69" s="3"/>
      <c r="D69" s="3"/>
      <c r="E69" s="3"/>
      <c r="F69" s="39"/>
      <c r="G69" s="32"/>
    </row>
    <row r="70" spans="1:7" s="7" customFormat="1" ht="16.350000000000001" customHeight="1" x14ac:dyDescent="0.2">
      <c r="A70" s="3"/>
      <c r="B70" s="3"/>
      <c r="C70" s="3"/>
      <c r="D70" s="3"/>
      <c r="E70" s="3"/>
      <c r="F70" s="39"/>
      <c r="G70" s="32"/>
    </row>
    <row r="71" spans="1:7" s="7" customFormat="1" ht="16.350000000000001" customHeight="1" x14ac:dyDescent="0.2">
      <c r="A71" s="3"/>
      <c r="B71" s="3"/>
      <c r="C71" s="3"/>
      <c r="D71" s="3"/>
      <c r="E71" s="3"/>
      <c r="F71" s="39"/>
      <c r="G71" s="32"/>
    </row>
    <row r="72" spans="1:7" s="7" customFormat="1" ht="16.350000000000001" customHeight="1" x14ac:dyDescent="0.2">
      <c r="A72" s="3"/>
      <c r="B72" s="3"/>
      <c r="C72" s="3"/>
      <c r="D72" s="3"/>
      <c r="E72" s="3"/>
      <c r="F72" s="39"/>
      <c r="G72" s="32"/>
    </row>
    <row r="73" spans="1:7" s="7" customFormat="1" ht="16.350000000000001" customHeight="1" x14ac:dyDescent="0.2">
      <c r="A73" s="3"/>
      <c r="B73" s="3"/>
      <c r="C73" s="3"/>
      <c r="D73" s="3"/>
      <c r="E73" s="3"/>
      <c r="F73" s="39"/>
      <c r="G73" s="32"/>
    </row>
    <row r="74" spans="1:7" s="7" customFormat="1" ht="16.350000000000001" customHeight="1" x14ac:dyDescent="0.2">
      <c r="A74" s="3"/>
      <c r="B74" s="3"/>
      <c r="C74" s="3"/>
      <c r="D74" s="3"/>
      <c r="E74" s="3"/>
      <c r="F74" s="39"/>
      <c r="G74" s="32"/>
    </row>
    <row r="75" spans="1:7" s="7" customFormat="1" ht="16.350000000000001" customHeight="1" x14ac:dyDescent="0.2">
      <c r="A75" s="3"/>
      <c r="B75" s="3"/>
      <c r="C75" s="3"/>
      <c r="D75" s="3"/>
      <c r="E75" s="3"/>
      <c r="F75" s="39"/>
      <c r="G75" s="32"/>
    </row>
    <row r="76" spans="1:7" s="7" customFormat="1" ht="16.350000000000001" customHeight="1" x14ac:dyDescent="0.2">
      <c r="A76" s="3"/>
      <c r="B76" s="3"/>
      <c r="C76" s="3"/>
      <c r="D76" s="3"/>
      <c r="E76" s="3"/>
      <c r="F76" s="39"/>
      <c r="G76" s="32"/>
    </row>
    <row r="77" spans="1:7" s="7" customFormat="1" ht="16.350000000000001" customHeight="1" x14ac:dyDescent="0.2">
      <c r="A77" s="3"/>
      <c r="B77" s="3"/>
      <c r="C77" s="3"/>
      <c r="D77" s="3"/>
      <c r="E77" s="3"/>
      <c r="F77" s="39"/>
      <c r="G77" s="32"/>
    </row>
    <row r="78" spans="1:7" s="7" customFormat="1" ht="16.350000000000001" customHeight="1" x14ac:dyDescent="0.2">
      <c r="A78" s="3"/>
      <c r="B78" s="3"/>
      <c r="C78" s="3"/>
      <c r="D78" s="3"/>
      <c r="E78" s="3"/>
      <c r="F78" s="39"/>
      <c r="G78" s="32"/>
    </row>
    <row r="79" spans="1:7" s="7" customFormat="1" ht="16.350000000000001" customHeight="1" x14ac:dyDescent="0.2">
      <c r="A79" s="3"/>
      <c r="B79" s="3"/>
      <c r="C79" s="3"/>
      <c r="D79" s="3"/>
      <c r="E79" s="3"/>
      <c r="F79" s="39"/>
      <c r="G79" s="32"/>
    </row>
    <row r="80" spans="1:7" s="7" customFormat="1" ht="16.350000000000001" customHeight="1" x14ac:dyDescent="0.2">
      <c r="A80" s="3"/>
      <c r="B80" s="3"/>
      <c r="C80" s="3"/>
      <c r="D80" s="3"/>
      <c r="E80" s="3"/>
      <c r="F80" s="39"/>
      <c r="G80" s="32"/>
    </row>
    <row r="81" spans="1:7" s="7" customFormat="1" ht="16.350000000000001" customHeight="1" x14ac:dyDescent="0.2">
      <c r="A81" s="3"/>
      <c r="B81" s="3"/>
      <c r="C81" s="3"/>
      <c r="D81" s="3"/>
      <c r="E81" s="3"/>
      <c r="F81" s="39"/>
      <c r="G81" s="32"/>
    </row>
    <row r="82" spans="1:7" s="7" customFormat="1" ht="16.350000000000001" customHeight="1" x14ac:dyDescent="0.2">
      <c r="A82" s="3"/>
      <c r="B82" s="3"/>
      <c r="C82" s="3"/>
      <c r="D82" s="3"/>
      <c r="E82" s="3"/>
      <c r="F82" s="39"/>
      <c r="G82" s="32"/>
    </row>
    <row r="83" spans="1:7" s="7" customFormat="1" ht="16.350000000000001" customHeight="1" x14ac:dyDescent="0.2">
      <c r="A83" s="3"/>
      <c r="B83" s="3"/>
      <c r="C83" s="3"/>
      <c r="D83" s="3"/>
      <c r="E83" s="3"/>
      <c r="F83" s="39"/>
      <c r="G83" s="32"/>
    </row>
    <row r="84" spans="1:7" s="7" customFormat="1" ht="16.350000000000001" customHeight="1" x14ac:dyDescent="0.2">
      <c r="A84" s="3"/>
      <c r="B84" s="3"/>
      <c r="C84" s="3"/>
      <c r="D84" s="3"/>
      <c r="E84" s="3"/>
      <c r="F84" s="39"/>
      <c r="G84" s="32"/>
    </row>
    <row r="85" spans="1:7" s="7" customFormat="1" ht="16.350000000000001" customHeight="1" x14ac:dyDescent="0.2">
      <c r="A85" s="3"/>
      <c r="B85" s="3"/>
      <c r="C85" s="3"/>
      <c r="D85" s="3"/>
      <c r="E85" s="3"/>
      <c r="F85" s="39"/>
      <c r="G85" s="32"/>
    </row>
    <row r="86" spans="1:7" s="7" customFormat="1" ht="16.350000000000001" customHeight="1" x14ac:dyDescent="0.2">
      <c r="A86" s="3"/>
      <c r="B86" s="3"/>
      <c r="C86" s="3"/>
      <c r="D86" s="3"/>
      <c r="E86" s="3"/>
      <c r="F86" s="39"/>
      <c r="G86" s="32"/>
    </row>
    <row r="87" spans="1:7" s="7" customFormat="1" ht="16.350000000000001" customHeight="1" x14ac:dyDescent="0.2">
      <c r="A87" s="3"/>
      <c r="B87" s="3"/>
      <c r="C87" s="3"/>
      <c r="D87" s="3"/>
      <c r="E87" s="3"/>
      <c r="F87" s="39"/>
      <c r="G87" s="32"/>
    </row>
    <row r="88" spans="1:7" s="7" customFormat="1" ht="16.350000000000001" customHeight="1" x14ac:dyDescent="0.2">
      <c r="A88" s="3"/>
      <c r="B88" s="3"/>
      <c r="C88" s="3"/>
      <c r="D88" s="3"/>
      <c r="E88" s="3"/>
      <c r="F88" s="39"/>
      <c r="G88" s="32"/>
    </row>
    <row r="89" spans="1:7" s="7" customFormat="1" ht="16.350000000000001" customHeight="1" x14ac:dyDescent="0.2">
      <c r="A89" s="3"/>
      <c r="B89" s="3"/>
      <c r="C89" s="3"/>
      <c r="D89" s="3"/>
      <c r="E89" s="3"/>
      <c r="F89" s="39"/>
      <c r="G89" s="32"/>
    </row>
    <row r="90" spans="1:7" s="7" customFormat="1" ht="16.350000000000001" customHeight="1" x14ac:dyDescent="0.2">
      <c r="A90" s="3"/>
      <c r="B90" s="3"/>
      <c r="C90" s="3"/>
      <c r="D90" s="3"/>
      <c r="E90" s="3"/>
      <c r="F90" s="39"/>
      <c r="G90" s="32"/>
    </row>
    <row r="91" spans="1:7" s="7" customFormat="1" ht="16.350000000000001" customHeight="1" x14ac:dyDescent="0.2">
      <c r="A91" s="3"/>
      <c r="B91" s="3"/>
      <c r="C91" s="3"/>
      <c r="D91" s="3"/>
      <c r="E91" s="3"/>
      <c r="F91" s="39"/>
      <c r="G91" s="32"/>
    </row>
    <row r="92" spans="1:7" s="7" customFormat="1" ht="16.350000000000001" customHeight="1" x14ac:dyDescent="0.2">
      <c r="A92" s="3"/>
      <c r="B92" s="3"/>
      <c r="C92" s="3"/>
      <c r="D92" s="3"/>
      <c r="E92" s="3"/>
      <c r="F92" s="39"/>
      <c r="G92" s="32"/>
    </row>
    <row r="93" spans="1:7" s="7" customFormat="1" ht="16.350000000000001" customHeight="1" x14ac:dyDescent="0.2">
      <c r="A93" s="3"/>
      <c r="B93" s="3"/>
      <c r="C93" s="3"/>
      <c r="D93" s="3"/>
      <c r="E93" s="3"/>
      <c r="F93" s="39"/>
      <c r="G93" s="32"/>
    </row>
    <row r="94" spans="1:7" s="7" customFormat="1" ht="16.350000000000001" customHeight="1" x14ac:dyDescent="0.2">
      <c r="A94" s="3"/>
      <c r="B94" s="3"/>
      <c r="C94" s="3"/>
      <c r="D94" s="3"/>
      <c r="E94" s="3"/>
      <c r="F94" s="39"/>
      <c r="G94" s="32"/>
    </row>
    <row r="95" spans="1:7" s="7" customFormat="1" ht="16.350000000000001" customHeight="1" x14ac:dyDescent="0.2">
      <c r="A95" s="3"/>
      <c r="B95" s="3"/>
      <c r="C95" s="3"/>
      <c r="D95" s="3"/>
      <c r="E95" s="3"/>
      <c r="F95" s="39"/>
      <c r="G95" s="32"/>
    </row>
    <row r="96" spans="1:7" s="7" customFormat="1" ht="16.350000000000001" customHeight="1" x14ac:dyDescent="0.2">
      <c r="A96" s="3"/>
      <c r="B96" s="3"/>
      <c r="C96" s="3"/>
      <c r="D96" s="3"/>
      <c r="E96" s="3"/>
      <c r="F96" s="39"/>
      <c r="G96" s="32"/>
    </row>
    <row r="97" spans="1:7" s="7" customFormat="1" ht="16.350000000000001" customHeight="1" x14ac:dyDescent="0.2">
      <c r="A97" s="3"/>
      <c r="B97" s="3"/>
      <c r="C97" s="3"/>
      <c r="D97" s="3"/>
      <c r="E97" s="3"/>
      <c r="F97" s="39"/>
      <c r="G97" s="32"/>
    </row>
    <row r="98" spans="1:7" s="7" customFormat="1" ht="16.350000000000001" customHeight="1" x14ac:dyDescent="0.2">
      <c r="A98" s="3"/>
      <c r="B98" s="3"/>
      <c r="C98" s="3"/>
      <c r="D98" s="3"/>
      <c r="E98" s="3"/>
      <c r="F98" s="39"/>
      <c r="G98" s="32"/>
    </row>
    <row r="99" spans="1:7" s="7" customFormat="1" ht="16.350000000000001" customHeight="1" x14ac:dyDescent="0.2">
      <c r="A99" s="3"/>
      <c r="B99" s="3"/>
      <c r="C99" s="3"/>
      <c r="D99" s="3"/>
      <c r="E99" s="3"/>
      <c r="F99" s="39"/>
      <c r="G99" s="32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9"/>
      <c r="G100" s="32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9"/>
      <c r="G101" s="32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9"/>
      <c r="G102" s="32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9"/>
      <c r="G103" s="32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9"/>
      <c r="G104" s="32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9"/>
      <c r="G105" s="32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9"/>
      <c r="G106" s="32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9"/>
      <c r="G107" s="32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9"/>
      <c r="G108" s="32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9"/>
      <c r="G109" s="32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9"/>
      <c r="G110" s="32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9"/>
      <c r="G111" s="32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9"/>
      <c r="G112" s="32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9"/>
      <c r="G113" s="32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9"/>
      <c r="G114" s="32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9"/>
      <c r="G115" s="32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9"/>
      <c r="G116" s="32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9"/>
      <c r="G117" s="32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9"/>
      <c r="G118" s="32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9"/>
      <c r="G119" s="32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9"/>
      <c r="G120" s="32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9"/>
      <c r="G121" s="32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9"/>
      <c r="G122" s="32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9"/>
      <c r="G123" s="32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9"/>
      <c r="G124" s="32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9"/>
      <c r="G125" s="32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9"/>
      <c r="G126" s="32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9"/>
      <c r="G127" s="32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9"/>
      <c r="G128" s="32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9"/>
      <c r="G129" s="32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9"/>
      <c r="G130" s="32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9"/>
      <c r="G131" s="32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9"/>
      <c r="G132" s="32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9"/>
      <c r="G133" s="32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9"/>
      <c r="G134" s="32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9"/>
      <c r="G135" s="32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9"/>
      <c r="G136" s="32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9"/>
      <c r="G137" s="32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9"/>
      <c r="G138" s="32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9"/>
      <c r="G139" s="32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9"/>
      <c r="G140" s="32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9"/>
      <c r="G141" s="32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9"/>
      <c r="G142" s="32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9"/>
      <c r="G143" s="32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9"/>
      <c r="G144" s="32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9"/>
      <c r="G145" s="32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9"/>
      <c r="G146" s="32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9"/>
      <c r="G147" s="32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9"/>
      <c r="G148" s="32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9"/>
      <c r="G149" s="32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9"/>
      <c r="G150" s="32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9"/>
      <c r="G151" s="32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9"/>
      <c r="G152" s="32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9"/>
      <c r="G153" s="32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9"/>
      <c r="G154" s="32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9"/>
      <c r="G155" s="32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9"/>
      <c r="G156" s="32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9"/>
      <c r="G157" s="32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9"/>
      <c r="G158" s="32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9"/>
      <c r="G159" s="32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9"/>
      <c r="G160" s="32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9"/>
      <c r="G161" s="32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9"/>
      <c r="G162" s="32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9"/>
      <c r="G163" s="32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9"/>
      <c r="G164" s="32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9"/>
      <c r="G165" s="32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9"/>
      <c r="G166" s="32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9"/>
      <c r="G167" s="32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9"/>
      <c r="G168" s="32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9"/>
      <c r="G169" s="32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9"/>
      <c r="G170" s="32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9"/>
      <c r="G171" s="32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9"/>
      <c r="G172" s="32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9"/>
      <c r="G173" s="32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9"/>
      <c r="G174" s="32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9"/>
      <c r="G175" s="32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9"/>
      <c r="G176" s="32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9"/>
      <c r="G177" s="32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9"/>
      <c r="G178" s="32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9"/>
      <c r="G179" s="32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9"/>
      <c r="G180" s="32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9"/>
      <c r="G181" s="32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9"/>
      <c r="G182" s="32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9"/>
      <c r="G183" s="32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9"/>
      <c r="G184" s="32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9"/>
      <c r="G185" s="32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9"/>
      <c r="G186" s="32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9"/>
      <c r="G187" s="32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9"/>
      <c r="G188" s="32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9"/>
      <c r="G189" s="32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9"/>
      <c r="G190" s="32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9"/>
      <c r="G191" s="32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9"/>
      <c r="G192" s="32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9"/>
      <c r="G193" s="32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9"/>
      <c r="G194" s="32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9"/>
      <c r="G195" s="32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9"/>
      <c r="G196" s="32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9"/>
      <c r="G197" s="32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9"/>
      <c r="G198" s="32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9"/>
      <c r="G199" s="32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9"/>
      <c r="G200" s="32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9"/>
      <c r="G201" s="32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9"/>
      <c r="G202" s="32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9"/>
      <c r="G203" s="32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9"/>
      <c r="G204" s="32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9"/>
      <c r="G205" s="32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9"/>
      <c r="G206" s="32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9"/>
      <c r="G207" s="32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9"/>
      <c r="G208" s="32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9"/>
      <c r="G209" s="32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9"/>
      <c r="G210" s="32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9"/>
      <c r="G211" s="32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9"/>
      <c r="G212" s="32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9"/>
      <c r="G213" s="32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9"/>
      <c r="G214" s="32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9"/>
      <c r="G215" s="32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9"/>
      <c r="G216" s="32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9"/>
      <c r="G217" s="32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9"/>
      <c r="G218" s="32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9"/>
      <c r="G219" s="32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9"/>
      <c r="G220" s="32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9"/>
      <c r="G221" s="32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9"/>
      <c r="G222" s="32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9"/>
      <c r="G223" s="32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9"/>
      <c r="G224" s="32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9"/>
      <c r="G225" s="32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9"/>
      <c r="G226" s="32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9"/>
      <c r="G227" s="32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9"/>
      <c r="G228" s="32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9"/>
      <c r="G229" s="32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9"/>
      <c r="G230" s="32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9"/>
      <c r="G231" s="32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9"/>
      <c r="G232" s="32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9"/>
      <c r="G233" s="32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9"/>
      <c r="G234" s="32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9"/>
      <c r="G235" s="32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9"/>
      <c r="G236" s="32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9"/>
      <c r="G237" s="32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9"/>
      <c r="G238" s="32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9"/>
      <c r="G239" s="32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9"/>
      <c r="G240" s="32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9"/>
      <c r="G241" s="32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9"/>
      <c r="G242" s="32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9"/>
      <c r="G243" s="32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9"/>
      <c r="G244" s="32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9"/>
      <c r="G245" s="32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9"/>
      <c r="G246" s="32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9"/>
      <c r="G247" s="32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9"/>
      <c r="G248" s="32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9"/>
      <c r="G249" s="32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9"/>
      <c r="G250" s="32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9"/>
      <c r="G251" s="32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9"/>
      <c r="G252" s="32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9"/>
      <c r="G253" s="32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9"/>
      <c r="G254" s="32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9"/>
      <c r="G255" s="32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9"/>
      <c r="G256" s="32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9"/>
      <c r="G257" s="32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9"/>
      <c r="G258" s="32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9"/>
      <c r="G259" s="32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9"/>
      <c r="G260" s="32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9"/>
      <c r="G261" s="32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9"/>
      <c r="G262" s="32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9"/>
      <c r="G263" s="32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9"/>
      <c r="G264" s="32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9"/>
      <c r="G265" s="32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9"/>
      <c r="G266" s="32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9"/>
      <c r="G267" s="32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9"/>
      <c r="G268" s="32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9"/>
      <c r="G269" s="32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9"/>
      <c r="G270" s="32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9"/>
      <c r="G271" s="32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9"/>
      <c r="G272" s="32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9"/>
      <c r="G273" s="32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9"/>
      <c r="G274" s="32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9"/>
      <c r="G275" s="32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9"/>
      <c r="G276" s="32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9"/>
      <c r="G277" s="32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9"/>
      <c r="G278" s="32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9"/>
      <c r="G279" s="32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9"/>
      <c r="G280" s="32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9"/>
      <c r="G281" s="32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9"/>
      <c r="G282" s="32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9"/>
      <c r="G283" s="32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9"/>
      <c r="G284" s="32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9"/>
      <c r="G285" s="32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9"/>
      <c r="G286" s="32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9"/>
      <c r="G287" s="32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9"/>
      <c r="G288" s="32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9"/>
      <c r="G289" s="32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9"/>
      <c r="G290" s="32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9"/>
      <c r="G291" s="32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9"/>
      <c r="G292" s="32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9"/>
      <c r="G293" s="32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9"/>
      <c r="G294" s="32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9"/>
      <c r="G295" s="32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9"/>
      <c r="G296" s="32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9"/>
      <c r="G297" s="32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9"/>
      <c r="G298" s="32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9"/>
      <c r="G299" s="32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9"/>
      <c r="G300" s="32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9"/>
      <c r="G301" s="32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9"/>
      <c r="G302" s="32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9"/>
      <c r="G303" s="32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9"/>
      <c r="G304" s="32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9"/>
      <c r="G305" s="32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9"/>
      <c r="G306" s="32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9"/>
      <c r="G307" s="32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9"/>
      <c r="G308" s="32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9"/>
      <c r="G309" s="32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9"/>
      <c r="G310" s="32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9"/>
      <c r="G311" s="32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9"/>
      <c r="G312" s="32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9"/>
      <c r="G313" s="32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9"/>
      <c r="G314" s="32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9"/>
      <c r="G315" s="32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9"/>
      <c r="G316" s="32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9"/>
      <c r="G317" s="32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9"/>
      <c r="G318" s="32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9"/>
      <c r="G319" s="32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9"/>
      <c r="G320" s="32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9"/>
      <c r="G321" s="32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9"/>
      <c r="G322" s="32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9"/>
      <c r="G323" s="32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9"/>
      <c r="G324" s="32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9"/>
      <c r="G325" s="32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9"/>
      <c r="G326" s="32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9"/>
      <c r="G327" s="32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9"/>
      <c r="G328" s="32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9"/>
      <c r="G329" s="32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9"/>
      <c r="G330" s="32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9"/>
      <c r="G331" s="32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9"/>
      <c r="G332" s="32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9"/>
      <c r="G333" s="32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9"/>
      <c r="G334" s="32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9"/>
      <c r="G335" s="32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9"/>
      <c r="G336" s="32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9"/>
      <c r="G337" s="32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9"/>
      <c r="G338" s="32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9"/>
      <c r="G339" s="32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9"/>
      <c r="G340" s="32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9"/>
      <c r="G341" s="32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9"/>
      <c r="G342" s="32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9"/>
      <c r="G343" s="32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9"/>
      <c r="G344" s="32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9"/>
      <c r="G345" s="32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9"/>
      <c r="G346" s="32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9"/>
      <c r="G347" s="32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9"/>
      <c r="G348" s="32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9"/>
      <c r="G349" s="32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9"/>
      <c r="G350" s="32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9"/>
      <c r="G351" s="32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9"/>
      <c r="G352" s="32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9"/>
      <c r="G353" s="32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9"/>
      <c r="G354" s="32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9"/>
      <c r="G355" s="32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9"/>
      <c r="G356" s="32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9"/>
      <c r="G357" s="32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9"/>
      <c r="G358" s="32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9"/>
      <c r="G359" s="32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9"/>
      <c r="G360" s="32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9"/>
      <c r="G361" s="32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9"/>
      <c r="G362" s="32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9"/>
      <c r="G363" s="32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9"/>
      <c r="G364" s="32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9"/>
      <c r="G365" s="32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9"/>
      <c r="G366" s="32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9"/>
      <c r="G367" s="32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9"/>
      <c r="G368" s="32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9"/>
      <c r="G369" s="32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9"/>
      <c r="G370" s="32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9"/>
      <c r="G371" s="32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9"/>
      <c r="G372" s="32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9"/>
      <c r="G373" s="32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9"/>
      <c r="G374" s="32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9"/>
      <c r="G375" s="32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9"/>
      <c r="G376" s="32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9"/>
      <c r="G377" s="32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9"/>
      <c r="G378" s="32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9"/>
      <c r="G379" s="32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9"/>
      <c r="G380" s="32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9"/>
      <c r="G381" s="32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9"/>
      <c r="G382" s="32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9"/>
      <c r="G383" s="32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9"/>
      <c r="G384" s="32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9"/>
      <c r="G385" s="32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9"/>
      <c r="G386" s="32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9"/>
      <c r="G387" s="32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9"/>
      <c r="G388" s="32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9"/>
      <c r="G389" s="32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9"/>
      <c r="G390" s="32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9"/>
      <c r="G391" s="32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9"/>
      <c r="G392" s="32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9"/>
      <c r="G393" s="32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9"/>
      <c r="G394" s="32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9"/>
      <c r="G395" s="32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9"/>
      <c r="G396" s="32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9"/>
      <c r="G397" s="32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9"/>
      <c r="G398" s="32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9"/>
      <c r="G399" s="32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9"/>
      <c r="G400" s="32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9"/>
      <c r="G401" s="32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9"/>
      <c r="G402" s="32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9"/>
      <c r="G403" s="32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9"/>
      <c r="G404" s="32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9"/>
      <c r="G405" s="32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9"/>
      <c r="G406" s="32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9"/>
      <c r="G407" s="32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9"/>
      <c r="G408" s="32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9"/>
      <c r="G409" s="32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9"/>
      <c r="G410" s="32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9"/>
      <c r="G411" s="32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9"/>
      <c r="G412" s="32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9"/>
      <c r="G413" s="32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9"/>
      <c r="G414" s="32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9"/>
      <c r="G415" s="32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9"/>
      <c r="G416" s="32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9"/>
      <c r="G417" s="32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9"/>
      <c r="G418" s="32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9"/>
      <c r="G419" s="32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9"/>
      <c r="G420" s="32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9"/>
      <c r="G421" s="32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9"/>
      <c r="G422" s="32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9"/>
      <c r="G423" s="32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9"/>
      <c r="G424" s="32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9"/>
      <c r="G425" s="32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9"/>
      <c r="G426" s="32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9"/>
      <c r="G427" s="32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9"/>
      <c r="G428" s="32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9"/>
      <c r="G429" s="32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9"/>
      <c r="G430" s="32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9"/>
      <c r="G431" s="32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9"/>
      <c r="G432" s="32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9"/>
      <c r="G433" s="32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9"/>
      <c r="G434" s="32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9"/>
      <c r="G435" s="32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9"/>
      <c r="G436" s="32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9"/>
      <c r="G437" s="32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9"/>
      <c r="G438" s="32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9"/>
      <c r="G439" s="32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9"/>
      <c r="G440" s="32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9"/>
      <c r="G441" s="32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9"/>
      <c r="G442" s="32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9"/>
      <c r="G443" s="32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9"/>
      <c r="G444" s="32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9"/>
      <c r="G445" s="32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9"/>
      <c r="G446" s="32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9"/>
      <c r="G447" s="32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9"/>
      <c r="G448" s="32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9"/>
      <c r="G449" s="32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9"/>
      <c r="G450" s="32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9"/>
      <c r="G451" s="32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9"/>
      <c r="G452" s="32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9"/>
      <c r="G453" s="32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9"/>
      <c r="G454" s="32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9"/>
      <c r="G455" s="32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9"/>
      <c r="G456" s="32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9"/>
      <c r="G457" s="32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9"/>
      <c r="G458" s="32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9"/>
      <c r="G459" s="32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9"/>
      <c r="G460" s="32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9"/>
      <c r="G461" s="32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9"/>
      <c r="G462" s="32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9"/>
      <c r="G463" s="32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9"/>
      <c r="G464" s="32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9"/>
      <c r="G465" s="32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9"/>
      <c r="G466" s="32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9"/>
      <c r="G467" s="32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9"/>
      <c r="G468" s="32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9"/>
      <c r="G469" s="32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9"/>
      <c r="G470" s="32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9"/>
      <c r="G471" s="32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9"/>
      <c r="G472" s="32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9"/>
      <c r="G473" s="32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9"/>
      <c r="G474" s="32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9"/>
      <c r="G475" s="32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9"/>
      <c r="G476" s="32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9"/>
      <c r="G477" s="32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9"/>
      <c r="G478" s="32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9"/>
      <c r="G479" s="32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9"/>
      <c r="G480" s="32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9"/>
      <c r="G481" s="32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9"/>
      <c r="G482" s="32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9"/>
      <c r="G483" s="32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9"/>
      <c r="G484" s="32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9"/>
      <c r="G485" s="32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9"/>
      <c r="G486" s="32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9"/>
      <c r="G487" s="32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9"/>
      <c r="G488" s="32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9"/>
      <c r="G489" s="32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9"/>
      <c r="G490" s="32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9"/>
      <c r="G491" s="32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9"/>
      <c r="G492" s="32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9"/>
      <c r="G493" s="32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9"/>
      <c r="G494" s="32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9"/>
      <c r="G495" s="32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9"/>
      <c r="G496" s="32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9"/>
      <c r="G497" s="32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9"/>
      <c r="G498" s="32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9"/>
      <c r="G499" s="32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9"/>
      <c r="G500" s="32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9"/>
      <c r="G501" s="32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9"/>
      <c r="G502" s="32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9"/>
      <c r="G503" s="32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9"/>
      <c r="G504" s="32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9"/>
      <c r="G505" s="32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9"/>
      <c r="G506" s="32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9"/>
      <c r="G507" s="32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9"/>
      <c r="G508" s="32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9"/>
      <c r="G509" s="32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9"/>
      <c r="G510" s="32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9"/>
      <c r="G511" s="32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9"/>
      <c r="G512" s="32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9"/>
      <c r="G513" s="32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9"/>
      <c r="G514" s="32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9"/>
      <c r="G515" s="32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9"/>
      <c r="G516" s="32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9"/>
      <c r="G517" s="32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9"/>
      <c r="G518" s="32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9"/>
      <c r="G519" s="32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9"/>
      <c r="G520" s="32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9"/>
      <c r="G521" s="32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9"/>
      <c r="G522" s="32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9"/>
      <c r="G523" s="32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9"/>
      <c r="G524" s="32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9"/>
      <c r="G525" s="32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9"/>
      <c r="G526" s="32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9"/>
      <c r="G527" s="32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9"/>
      <c r="G528" s="32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9"/>
      <c r="G529" s="32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9"/>
      <c r="G530" s="32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9"/>
      <c r="G531" s="32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9"/>
      <c r="G532" s="32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9"/>
      <c r="G533" s="32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9"/>
      <c r="G534" s="32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9"/>
      <c r="G535" s="32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9"/>
      <c r="G536" s="32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9"/>
      <c r="G537" s="32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9"/>
      <c r="G538" s="32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9"/>
      <c r="G539" s="32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9"/>
      <c r="G540" s="32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9"/>
      <c r="G541" s="32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9"/>
      <c r="G542" s="32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9"/>
      <c r="G543" s="32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9"/>
      <c r="G544" s="32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9"/>
      <c r="G545" s="32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9"/>
      <c r="G546" s="32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9"/>
      <c r="G547" s="32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9"/>
      <c r="G548" s="32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9"/>
      <c r="G549" s="32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9"/>
      <c r="G550" s="32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9"/>
      <c r="G551" s="32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9"/>
      <c r="G552" s="32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9"/>
      <c r="G553" s="32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9"/>
      <c r="G554" s="32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9"/>
      <c r="G555" s="32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9"/>
      <c r="G556" s="32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9"/>
      <c r="G557" s="32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9"/>
      <c r="G558" s="32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9"/>
      <c r="G559" s="32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9"/>
      <c r="G560" s="32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9"/>
      <c r="G561" s="32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9"/>
      <c r="G562" s="32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9"/>
      <c r="G563" s="32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9"/>
      <c r="G564" s="32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9"/>
      <c r="G565" s="32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9"/>
      <c r="G566" s="32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9"/>
      <c r="G567" s="32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9"/>
      <c r="G568" s="32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9"/>
      <c r="G569" s="32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9"/>
      <c r="G570" s="32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9"/>
      <c r="G571" s="32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9"/>
      <c r="G572" s="32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9"/>
      <c r="G573" s="32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9"/>
      <c r="G574" s="32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9"/>
      <c r="G575" s="32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9"/>
      <c r="G576" s="32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9"/>
      <c r="G577" s="32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9"/>
      <c r="G578" s="32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9"/>
      <c r="G579" s="32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9"/>
      <c r="G580" s="32"/>
    </row>
    <row r="584" spans="1:7" ht="16.350000000000001" customHeight="1" x14ac:dyDescent="0.2">
      <c r="A584" s="40"/>
      <c r="B584" s="40"/>
      <c r="C584" s="40"/>
      <c r="D584" s="40"/>
      <c r="E584" s="40"/>
      <c r="F584" s="41"/>
    </row>
    <row r="585" spans="1:7" ht="16.350000000000001" customHeight="1" x14ac:dyDescent="0.2">
      <c r="A585" s="40"/>
      <c r="B585" s="40"/>
      <c r="C585" s="40"/>
      <c r="D585" s="40"/>
      <c r="E585" s="40"/>
      <c r="F585" s="41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1" t="s">
        <v>198</v>
      </c>
      <c r="B1" s="50"/>
      <c r="C1" s="50"/>
      <c r="D1" s="50"/>
      <c r="E1" s="50"/>
      <c r="F1" s="50"/>
    </row>
    <row r="2" spans="1:6" x14ac:dyDescent="0.2">
      <c r="A2" s="59" t="s">
        <v>212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B68" sqref="B68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4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8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4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60" t="s">
        <v>97</v>
      </c>
      <c r="D55" s="60"/>
      <c r="E55" s="60"/>
    </row>
    <row r="56" spans="1:5" x14ac:dyDescent="0.2">
      <c r="A56" s="6" t="s">
        <v>96</v>
      </c>
      <c r="C56" s="60" t="s">
        <v>97</v>
      </c>
      <c r="D56" s="60"/>
      <c r="E56" s="60"/>
    </row>
    <row r="57" spans="1:5" x14ac:dyDescent="0.2">
      <c r="A57" s="6" t="s">
        <v>93</v>
      </c>
      <c r="C57" s="42" t="s">
        <v>159</v>
      </c>
      <c r="D57" s="43"/>
      <c r="E57" s="43"/>
    </row>
    <row r="58" spans="1:5" hidden="1" x14ac:dyDescent="0.2">
      <c r="A58" s="6"/>
      <c r="C58" s="43"/>
      <c r="D58" s="43"/>
      <c r="E58" s="43"/>
    </row>
    <row r="59" spans="1:5" x14ac:dyDescent="0.2">
      <c r="A59" s="6" t="s">
        <v>157</v>
      </c>
      <c r="C59" s="60" t="s">
        <v>97</v>
      </c>
      <c r="D59" s="60"/>
      <c r="E59" s="60"/>
    </row>
    <row r="60" spans="1:5" x14ac:dyDescent="0.2">
      <c r="A60" s="6" t="s">
        <v>160</v>
      </c>
      <c r="C60" s="60" t="s">
        <v>97</v>
      </c>
      <c r="D60" s="60"/>
      <c r="E60" s="60"/>
    </row>
    <row r="61" spans="1:5" x14ac:dyDescent="0.2">
      <c r="A61" s="6" t="s">
        <v>161</v>
      </c>
      <c r="C61" s="60" t="s">
        <v>162</v>
      </c>
      <c r="D61" s="60"/>
      <c r="E61" s="60"/>
    </row>
    <row r="62" spans="1:5" x14ac:dyDescent="0.2">
      <c r="A62" s="6" t="s">
        <v>192</v>
      </c>
      <c r="C62" s="60" t="s">
        <v>193</v>
      </c>
      <c r="D62" s="60"/>
      <c r="E62" s="60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60" t="s">
        <v>97</v>
      </c>
      <c r="D64" s="60"/>
      <c r="E64" s="60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67" spans="1:2" x14ac:dyDescent="0.2">
      <c r="A67" s="6" t="s">
        <v>210</v>
      </c>
    </row>
    <row r="70" spans="1:2" x14ac:dyDescent="0.2">
      <c r="A70" s="6"/>
    </row>
    <row r="226" spans="38:38" x14ac:dyDescent="0.2">
      <c r="AL226" s="36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2" sqref="A2:A5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1" t="s">
        <v>74</v>
      </c>
      <c r="B1" s="12" t="s">
        <v>75</v>
      </c>
      <c r="C1" s="13" t="s">
        <v>76</v>
      </c>
      <c r="D1" s="13"/>
      <c r="E1" s="13"/>
      <c r="F1" s="13"/>
    </row>
    <row r="2" spans="1:6" x14ac:dyDescent="0.2">
      <c r="A2" s="14" t="s">
        <v>39</v>
      </c>
      <c r="B2" s="14" t="s">
        <v>47</v>
      </c>
      <c r="C2" s="14" t="s">
        <v>37</v>
      </c>
      <c r="D2" s="14"/>
      <c r="E2" s="14"/>
      <c r="F2" s="14"/>
    </row>
    <row r="3" spans="1:6" x14ac:dyDescent="0.2">
      <c r="A3" s="15" t="s">
        <v>43</v>
      </c>
      <c r="B3" s="15" t="s">
        <v>46</v>
      </c>
      <c r="C3" s="15" t="s">
        <v>56</v>
      </c>
      <c r="D3" s="15"/>
      <c r="E3" s="15"/>
      <c r="F3" s="15"/>
    </row>
    <row r="4" spans="1:6" x14ac:dyDescent="0.2">
      <c r="A4" s="15" t="s">
        <v>49</v>
      </c>
      <c r="B4" s="15" t="s">
        <v>42</v>
      </c>
      <c r="C4" s="15" t="s">
        <v>58</v>
      </c>
      <c r="D4" s="15"/>
      <c r="E4" s="15"/>
      <c r="F4" s="15"/>
    </row>
    <row r="5" spans="1:6" x14ac:dyDescent="0.2">
      <c r="A5" s="15" t="s">
        <v>61</v>
      </c>
      <c r="B5" s="15" t="s">
        <v>50</v>
      </c>
      <c r="C5" s="15" t="s">
        <v>44</v>
      </c>
      <c r="D5" s="15"/>
      <c r="E5" s="15"/>
      <c r="F5" s="15"/>
    </row>
    <row r="6" spans="1:6" x14ac:dyDescent="0.2">
      <c r="A6" s="16"/>
      <c r="B6" s="15" t="s">
        <v>77</v>
      </c>
      <c r="C6" s="15" t="s">
        <v>62</v>
      </c>
      <c r="D6" s="15"/>
      <c r="E6" s="15"/>
      <c r="F6" s="15"/>
    </row>
    <row r="7" spans="1:6" x14ac:dyDescent="0.2">
      <c r="A7" s="16"/>
      <c r="B7" s="15" t="s">
        <v>45</v>
      </c>
      <c r="C7" s="15" t="s">
        <v>59</v>
      </c>
      <c r="D7" s="15"/>
      <c r="E7" s="15"/>
      <c r="F7" s="15"/>
    </row>
    <row r="8" spans="1:6" x14ac:dyDescent="0.2">
      <c r="A8" s="16"/>
      <c r="B8" s="15" t="s">
        <v>38</v>
      </c>
      <c r="C8" s="15" t="s">
        <v>54</v>
      </c>
      <c r="D8" s="15"/>
      <c r="E8" s="15"/>
      <c r="F8" s="15"/>
    </row>
    <row r="9" spans="1:6" x14ac:dyDescent="0.2">
      <c r="A9" s="16"/>
      <c r="B9" s="15" t="s">
        <v>55</v>
      </c>
      <c r="C9" s="15" t="s">
        <v>60</v>
      </c>
      <c r="D9" s="15"/>
      <c r="E9" s="15"/>
      <c r="F9" s="15"/>
    </row>
    <row r="10" spans="1:6" x14ac:dyDescent="0.2">
      <c r="A10" s="16"/>
      <c r="B10" s="15" t="s">
        <v>48</v>
      </c>
      <c r="C10" s="15" t="s">
        <v>41</v>
      </c>
      <c r="D10" s="15"/>
      <c r="E10" s="15"/>
      <c r="F10" s="15"/>
    </row>
    <row r="11" spans="1:6" x14ac:dyDescent="0.2">
      <c r="A11" s="16"/>
      <c r="B11" s="16" t="s">
        <v>52</v>
      </c>
      <c r="C11" s="15" t="s">
        <v>66</v>
      </c>
      <c r="D11" s="15"/>
      <c r="E11" s="15"/>
      <c r="F11" s="15"/>
    </row>
    <row r="12" spans="1:6" x14ac:dyDescent="0.2">
      <c r="A12" s="16"/>
      <c r="B12" s="16"/>
      <c r="C12" s="15" t="s">
        <v>57</v>
      </c>
      <c r="D12" s="15"/>
      <c r="E12" s="15"/>
      <c r="F12" s="15"/>
    </row>
    <row r="13" spans="1:6" x14ac:dyDescent="0.2">
      <c r="A13" s="16"/>
      <c r="B13" s="16"/>
      <c r="C13" s="15" t="s">
        <v>51</v>
      </c>
      <c r="D13" s="15"/>
      <c r="E13" s="15"/>
      <c r="F13" s="15"/>
    </row>
    <row r="14" spans="1:6" x14ac:dyDescent="0.2">
      <c r="A14" s="16"/>
      <c r="B14" s="16"/>
      <c r="C14" s="15" t="s">
        <v>63</v>
      </c>
      <c r="D14" s="15"/>
      <c r="E14" s="15"/>
      <c r="F14" s="15"/>
    </row>
    <row r="15" spans="1:6" x14ac:dyDescent="0.2">
      <c r="A15" s="16"/>
      <c r="B15" s="16"/>
      <c r="C15" s="15" t="s">
        <v>53</v>
      </c>
      <c r="D15" s="15"/>
      <c r="E15" s="15"/>
      <c r="F15" s="15"/>
    </row>
    <row r="16" spans="1:6" x14ac:dyDescent="0.2">
      <c r="A16" s="16"/>
      <c r="B16" s="16"/>
      <c r="C16" s="15" t="s">
        <v>64</v>
      </c>
      <c r="D16" s="15"/>
      <c r="E16" s="15"/>
      <c r="F16" s="15"/>
    </row>
    <row r="17" spans="1:6" x14ac:dyDescent="0.2">
      <c r="A17" s="16"/>
      <c r="B17" s="16"/>
      <c r="C17" s="15" t="s">
        <v>65</v>
      </c>
      <c r="D17" s="16"/>
      <c r="E17" s="16"/>
      <c r="F17" s="16"/>
    </row>
    <row r="18" spans="1:6" x14ac:dyDescent="0.2">
      <c r="A18" s="16"/>
      <c r="B18" s="16"/>
      <c r="C18" s="15" t="s">
        <v>78</v>
      </c>
      <c r="D18" s="16"/>
      <c r="E18" s="16"/>
      <c r="F18" s="16"/>
    </row>
    <row r="19" spans="1:6" x14ac:dyDescent="0.2">
      <c r="A19" s="16"/>
      <c r="B19" s="16"/>
      <c r="C19" s="16"/>
      <c r="D19" s="16"/>
      <c r="E19" s="16"/>
      <c r="F19" s="16"/>
    </row>
    <row r="20" spans="1:6" ht="13.5" thickBot="1" x14ac:dyDescent="0.25">
      <c r="A20" s="17"/>
      <c r="B20" s="17"/>
      <c r="C20" s="17"/>
      <c r="D20" s="17"/>
      <c r="E20" s="17"/>
      <c r="F20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1" customWidth="1"/>
  </cols>
  <sheetData>
    <row r="1" spans="1:4" ht="54" customHeight="1" x14ac:dyDescent="0.25">
      <c r="A1" s="22" t="s">
        <v>69</v>
      </c>
      <c r="B1" s="22" t="s">
        <v>71</v>
      </c>
      <c r="C1" s="22" t="s">
        <v>79</v>
      </c>
      <c r="D1" s="23" t="s">
        <v>80</v>
      </c>
    </row>
    <row r="2" spans="1:4" x14ac:dyDescent="0.2">
      <c r="A2" s="6"/>
      <c r="C2" s="6"/>
      <c r="D2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5"/>
    <col min="2" max="2" width="16.140625" style="45" customWidth="1"/>
    <col min="3" max="10" width="9.140625" style="45"/>
    <col min="11" max="11" width="16.140625" style="45" bestFit="1" customWidth="1"/>
    <col min="12" max="12" width="14.5703125" style="45" bestFit="1" customWidth="1"/>
    <col min="13" max="16384" width="9.140625" style="45"/>
  </cols>
  <sheetData>
    <row r="1" spans="1:51" x14ac:dyDescent="0.2">
      <c r="A1" s="61" t="s">
        <v>164</v>
      </c>
      <c r="B1" s="61" t="s">
        <v>165</v>
      </c>
      <c r="C1" s="61" t="s">
        <v>166</v>
      </c>
      <c r="D1" s="61"/>
      <c r="E1" s="61"/>
      <c r="F1" s="61" t="s">
        <v>167</v>
      </c>
      <c r="G1" s="61" t="s">
        <v>168</v>
      </c>
      <c r="K1" s="64" t="s">
        <v>171</v>
      </c>
      <c r="L1" s="64" t="s">
        <v>173</v>
      </c>
    </row>
    <row r="2" spans="1:51" x14ac:dyDescent="0.2">
      <c r="A2" s="61"/>
      <c r="B2" s="61"/>
      <c r="C2" s="44">
        <v>1</v>
      </c>
      <c r="D2" s="44">
        <v>2</v>
      </c>
      <c r="E2" s="44">
        <v>3</v>
      </c>
      <c r="F2" s="61"/>
      <c r="G2" s="61"/>
      <c r="I2" s="45" t="s">
        <v>167</v>
      </c>
      <c r="J2" s="45" t="s">
        <v>168</v>
      </c>
      <c r="K2" s="64"/>
      <c r="L2" s="64"/>
    </row>
    <row r="3" spans="1:51" x14ac:dyDescent="0.2">
      <c r="A3" s="61">
        <v>1</v>
      </c>
      <c r="B3" s="44">
        <v>1</v>
      </c>
      <c r="C3" s="46" t="s">
        <v>40</v>
      </c>
      <c r="D3" s="46" t="s">
        <v>40</v>
      </c>
      <c r="E3" s="46" t="s">
        <v>40</v>
      </c>
      <c r="F3" s="47">
        <f>MAX(C3:E3)-MIN(C3:E3)</f>
        <v>0</v>
      </c>
      <c r="G3" s="44" t="e">
        <f>(C3+D3+E3)/3</f>
        <v>#VALUE!</v>
      </c>
      <c r="H3" s="62" t="s">
        <v>196</v>
      </c>
      <c r="I3" s="61">
        <f>(F3+F4+F5+F6+F7)/5</f>
        <v>0</v>
      </c>
      <c r="J3" s="61" t="e">
        <f>(G3+G4+G5+G6+G7)/5</f>
        <v>#VALUE!</v>
      </c>
      <c r="K3" s="44">
        <f>(I3+I8+I13)/3</f>
        <v>0</v>
      </c>
      <c r="L3" s="44" t="e">
        <f>MAX(J3:J17)-MIN(J3:J17)</f>
        <v>#VALUE!</v>
      </c>
      <c r="AQ3" s="45" t="s">
        <v>155</v>
      </c>
      <c r="AR3" s="45" t="s">
        <v>155</v>
      </c>
      <c r="AS3" s="45" t="s">
        <v>155</v>
      </c>
      <c r="AT3" s="45" t="s">
        <v>155</v>
      </c>
      <c r="AV3" s="45" t="s">
        <v>155</v>
      </c>
      <c r="AW3" s="45" t="s">
        <v>155</v>
      </c>
      <c r="AX3" s="45" t="s">
        <v>155</v>
      </c>
      <c r="AY3" s="45" t="s">
        <v>155</v>
      </c>
    </row>
    <row r="4" spans="1:51" x14ac:dyDescent="0.2">
      <c r="A4" s="61"/>
      <c r="B4" s="44">
        <v>2</v>
      </c>
      <c r="C4" s="46" t="s">
        <v>40</v>
      </c>
      <c r="D4" s="46" t="s">
        <v>40</v>
      </c>
      <c r="E4" s="46" t="s">
        <v>40</v>
      </c>
      <c r="F4" s="47">
        <f t="shared" ref="F4:F17" si="0">MAX(C4:E4)-MIN(C4:E4)</f>
        <v>0</v>
      </c>
      <c r="G4" s="44" t="e">
        <f t="shared" ref="G4:G17" si="1">(C4+D4+E4)/3</f>
        <v>#VALUE!</v>
      </c>
      <c r="H4" s="62"/>
      <c r="I4" s="61"/>
      <c r="J4" s="61"/>
      <c r="K4" s="44"/>
      <c r="L4" s="44"/>
    </row>
    <row r="5" spans="1:51" x14ac:dyDescent="0.2">
      <c r="A5" s="61"/>
      <c r="B5" s="44">
        <v>3</v>
      </c>
      <c r="C5" s="46" t="s">
        <v>40</v>
      </c>
      <c r="D5" s="46" t="s">
        <v>40</v>
      </c>
      <c r="E5" s="46" t="s">
        <v>40</v>
      </c>
      <c r="F5" s="47">
        <f t="shared" si="0"/>
        <v>0</v>
      </c>
      <c r="G5" s="44" t="e">
        <f t="shared" si="1"/>
        <v>#VALUE!</v>
      </c>
      <c r="H5" s="62"/>
      <c r="I5" s="61"/>
      <c r="J5" s="61"/>
      <c r="K5" s="44"/>
      <c r="L5" s="44"/>
    </row>
    <row r="6" spans="1:51" x14ac:dyDescent="0.2">
      <c r="A6" s="61"/>
      <c r="B6" s="44">
        <v>4</v>
      </c>
      <c r="C6" s="46" t="s">
        <v>40</v>
      </c>
      <c r="D6" s="46" t="s">
        <v>40</v>
      </c>
      <c r="E6" s="46" t="s">
        <v>40</v>
      </c>
      <c r="F6" s="47">
        <f t="shared" si="0"/>
        <v>0</v>
      </c>
      <c r="G6" s="44" t="e">
        <f t="shared" si="1"/>
        <v>#VALUE!</v>
      </c>
      <c r="H6" s="62"/>
      <c r="I6" s="61"/>
      <c r="J6" s="61"/>
      <c r="K6" s="44"/>
      <c r="L6" s="44"/>
    </row>
    <row r="7" spans="1:51" x14ac:dyDescent="0.2">
      <c r="A7" s="61"/>
      <c r="B7" s="44">
        <v>5</v>
      </c>
      <c r="C7" s="46" t="s">
        <v>40</v>
      </c>
      <c r="D7" s="46" t="s">
        <v>40</v>
      </c>
      <c r="E7" s="46" t="s">
        <v>40</v>
      </c>
      <c r="F7" s="47">
        <f t="shared" si="0"/>
        <v>0</v>
      </c>
      <c r="G7" s="44" t="e">
        <f t="shared" si="1"/>
        <v>#VALUE!</v>
      </c>
      <c r="H7" s="62"/>
      <c r="I7" s="61"/>
      <c r="J7" s="61"/>
      <c r="K7" s="44"/>
      <c r="L7" s="44"/>
    </row>
    <row r="8" spans="1:51" x14ac:dyDescent="0.2">
      <c r="A8" s="61">
        <v>2</v>
      </c>
      <c r="B8" s="44">
        <v>1</v>
      </c>
      <c r="C8" s="46" t="s">
        <v>40</v>
      </c>
      <c r="D8" s="46" t="s">
        <v>40</v>
      </c>
      <c r="E8" s="46" t="s">
        <v>40</v>
      </c>
      <c r="F8" s="47">
        <f t="shared" si="0"/>
        <v>0</v>
      </c>
      <c r="G8" s="44" t="e">
        <f t="shared" si="1"/>
        <v>#VALUE!</v>
      </c>
      <c r="H8" s="62" t="s">
        <v>169</v>
      </c>
      <c r="I8" s="61">
        <f>(F8+F9+F10+F11+F12)/5</f>
        <v>0</v>
      </c>
      <c r="J8" s="61" t="e">
        <f>(G8+G9+G10+G11+G12)/5</f>
        <v>#VALUE!</v>
      </c>
      <c r="K8" s="44"/>
      <c r="L8" s="44"/>
    </row>
    <row r="9" spans="1:51" x14ac:dyDescent="0.2">
      <c r="A9" s="61"/>
      <c r="B9" s="44">
        <v>2</v>
      </c>
      <c r="C9" s="46" t="s">
        <v>40</v>
      </c>
      <c r="D9" s="46" t="s">
        <v>40</v>
      </c>
      <c r="E9" s="46" t="s">
        <v>40</v>
      </c>
      <c r="F9" s="47">
        <f t="shared" si="0"/>
        <v>0</v>
      </c>
      <c r="G9" s="44" t="e">
        <f t="shared" si="1"/>
        <v>#VALUE!</v>
      </c>
      <c r="H9" s="62"/>
      <c r="I9" s="61"/>
      <c r="J9" s="61"/>
      <c r="K9" s="44"/>
      <c r="L9" s="44"/>
    </row>
    <row r="10" spans="1:51" x14ac:dyDescent="0.2">
      <c r="A10" s="61"/>
      <c r="B10" s="44">
        <v>3</v>
      </c>
      <c r="C10" s="46" t="s">
        <v>40</v>
      </c>
      <c r="D10" s="46" t="s">
        <v>40</v>
      </c>
      <c r="E10" s="46" t="s">
        <v>40</v>
      </c>
      <c r="F10" s="47">
        <f t="shared" si="0"/>
        <v>0</v>
      </c>
      <c r="G10" s="44" t="e">
        <f t="shared" si="1"/>
        <v>#VALUE!</v>
      </c>
      <c r="H10" s="62"/>
      <c r="I10" s="61"/>
      <c r="J10" s="61"/>
      <c r="K10" s="44"/>
      <c r="L10" s="44"/>
    </row>
    <row r="11" spans="1:51" x14ac:dyDescent="0.2">
      <c r="A11" s="61"/>
      <c r="B11" s="44">
        <v>4</v>
      </c>
      <c r="C11" s="46" t="s">
        <v>40</v>
      </c>
      <c r="D11" s="46" t="s">
        <v>40</v>
      </c>
      <c r="E11" s="46" t="s">
        <v>40</v>
      </c>
      <c r="F11" s="47">
        <f t="shared" si="0"/>
        <v>0</v>
      </c>
      <c r="G11" s="44" t="e">
        <f t="shared" si="1"/>
        <v>#VALUE!</v>
      </c>
      <c r="H11" s="62"/>
      <c r="I11" s="61"/>
      <c r="J11" s="61"/>
      <c r="K11" s="44"/>
      <c r="L11" s="44"/>
    </row>
    <row r="12" spans="1:51" x14ac:dyDescent="0.2">
      <c r="A12" s="61"/>
      <c r="B12" s="44">
        <v>5</v>
      </c>
      <c r="C12" s="46" t="s">
        <v>40</v>
      </c>
      <c r="D12" s="46" t="s">
        <v>40</v>
      </c>
      <c r="E12" s="46" t="s">
        <v>40</v>
      </c>
      <c r="F12" s="47">
        <f t="shared" si="0"/>
        <v>0</v>
      </c>
      <c r="G12" s="44" t="e">
        <f t="shared" si="1"/>
        <v>#VALUE!</v>
      </c>
      <c r="H12" s="62"/>
      <c r="I12" s="61"/>
      <c r="J12" s="61"/>
      <c r="K12" s="44"/>
      <c r="L12" s="44"/>
    </row>
    <row r="13" spans="1:51" x14ac:dyDescent="0.2">
      <c r="A13" s="61">
        <v>3</v>
      </c>
      <c r="B13" s="44">
        <v>1</v>
      </c>
      <c r="C13" s="46" t="s">
        <v>40</v>
      </c>
      <c r="D13" s="46" t="s">
        <v>40</v>
      </c>
      <c r="E13" s="46" t="s">
        <v>40</v>
      </c>
      <c r="F13" s="47">
        <f t="shared" si="0"/>
        <v>0</v>
      </c>
      <c r="G13" s="44" t="e">
        <f t="shared" si="1"/>
        <v>#VALUE!</v>
      </c>
      <c r="H13" s="62" t="s">
        <v>170</v>
      </c>
      <c r="I13" s="61">
        <f>(F13+F14+F15+F16+F17)/5</f>
        <v>0</v>
      </c>
      <c r="J13" s="61" t="e">
        <f>(G13+G14+G15+G16+G17)/5</f>
        <v>#VALUE!</v>
      </c>
      <c r="K13" s="44"/>
      <c r="L13" s="44"/>
    </row>
    <row r="14" spans="1:51" x14ac:dyDescent="0.2">
      <c r="A14" s="61"/>
      <c r="B14" s="44">
        <v>2</v>
      </c>
      <c r="C14" s="46" t="s">
        <v>40</v>
      </c>
      <c r="D14" s="46" t="s">
        <v>40</v>
      </c>
      <c r="E14" s="46" t="s">
        <v>40</v>
      </c>
      <c r="F14" s="47">
        <f t="shared" si="0"/>
        <v>0</v>
      </c>
      <c r="G14" s="44" t="e">
        <f t="shared" si="1"/>
        <v>#VALUE!</v>
      </c>
      <c r="H14" s="62"/>
      <c r="I14" s="61"/>
      <c r="J14" s="61"/>
      <c r="K14" s="44"/>
      <c r="L14" s="44"/>
    </row>
    <row r="15" spans="1:51" x14ac:dyDescent="0.2">
      <c r="A15" s="61"/>
      <c r="B15" s="44">
        <v>3</v>
      </c>
      <c r="C15" s="46" t="s">
        <v>40</v>
      </c>
      <c r="D15" s="46" t="s">
        <v>40</v>
      </c>
      <c r="E15" s="46" t="s">
        <v>40</v>
      </c>
      <c r="F15" s="47">
        <f t="shared" si="0"/>
        <v>0</v>
      </c>
      <c r="G15" s="44" t="e">
        <f t="shared" si="1"/>
        <v>#VALUE!</v>
      </c>
      <c r="H15" s="62"/>
      <c r="I15" s="61"/>
      <c r="J15" s="61"/>
      <c r="K15" s="44"/>
      <c r="L15" s="44"/>
    </row>
    <row r="16" spans="1:51" x14ac:dyDescent="0.2">
      <c r="A16" s="61"/>
      <c r="B16" s="44">
        <v>4</v>
      </c>
      <c r="C16" s="46" t="s">
        <v>40</v>
      </c>
      <c r="D16" s="46" t="s">
        <v>40</v>
      </c>
      <c r="E16" s="46" t="s">
        <v>40</v>
      </c>
      <c r="F16" s="47">
        <f t="shared" si="0"/>
        <v>0</v>
      </c>
      <c r="G16" s="44" t="e">
        <f t="shared" si="1"/>
        <v>#VALUE!</v>
      </c>
      <c r="H16" s="62"/>
      <c r="I16" s="61"/>
      <c r="J16" s="61"/>
      <c r="K16" s="44"/>
      <c r="L16" s="44"/>
    </row>
    <row r="17" spans="1:12" x14ac:dyDescent="0.2">
      <c r="A17" s="61"/>
      <c r="B17" s="44">
        <v>5</v>
      </c>
      <c r="C17" s="46" t="s">
        <v>40</v>
      </c>
      <c r="D17" s="46" t="s">
        <v>40</v>
      </c>
      <c r="E17" s="46" t="s">
        <v>40</v>
      </c>
      <c r="F17" s="47">
        <f t="shared" si="0"/>
        <v>0</v>
      </c>
      <c r="G17" s="44" t="e">
        <f t="shared" si="1"/>
        <v>#VALUE!</v>
      </c>
      <c r="H17" s="62"/>
      <c r="I17" s="61"/>
      <c r="J17" s="61"/>
      <c r="K17" s="44"/>
      <c r="L17" s="44"/>
    </row>
    <row r="25" spans="1:12" x14ac:dyDescent="0.2">
      <c r="A25" s="48" t="s">
        <v>172</v>
      </c>
      <c r="B25" s="44">
        <f>K3</f>
        <v>0</v>
      </c>
    </row>
    <row r="26" spans="1:12" x14ac:dyDescent="0.2">
      <c r="A26" s="48" t="s">
        <v>174</v>
      </c>
      <c r="B26" s="44">
        <v>1.708</v>
      </c>
    </row>
    <row r="27" spans="1:12" x14ac:dyDescent="0.2">
      <c r="A27" s="48" t="s">
        <v>180</v>
      </c>
      <c r="B27" s="45">
        <f>1/B26</f>
        <v>0.58548009367681497</v>
      </c>
    </row>
    <row r="28" spans="1:12" x14ac:dyDescent="0.2">
      <c r="A28" s="48" t="s">
        <v>175</v>
      </c>
      <c r="B28" s="44">
        <f>B25*B27</f>
        <v>0</v>
      </c>
    </row>
    <row r="29" spans="1:12" x14ac:dyDescent="0.2">
      <c r="A29" s="44"/>
      <c r="B29" s="44"/>
    </row>
    <row r="30" spans="1:12" x14ac:dyDescent="0.2">
      <c r="A30" s="48" t="s">
        <v>176</v>
      </c>
      <c r="B30" s="44" t="e">
        <f>L3</f>
        <v>#VALUE!</v>
      </c>
    </row>
    <row r="31" spans="1:12" x14ac:dyDescent="0.2">
      <c r="A31" s="48" t="s">
        <v>177</v>
      </c>
      <c r="B31" s="44">
        <v>5</v>
      </c>
    </row>
    <row r="32" spans="1:12" x14ac:dyDescent="0.2">
      <c r="A32" s="48" t="s">
        <v>178</v>
      </c>
      <c r="B32" s="44">
        <v>3</v>
      </c>
    </row>
    <row r="33" spans="1:4" x14ac:dyDescent="0.2">
      <c r="A33" s="48" t="s">
        <v>174</v>
      </c>
      <c r="B33" s="44">
        <v>2.3370000000000002</v>
      </c>
    </row>
    <row r="34" spans="1:4" x14ac:dyDescent="0.2">
      <c r="A34" s="48" t="s">
        <v>179</v>
      </c>
      <c r="B34" s="44">
        <f>1/B33</f>
        <v>0.42789901583226353</v>
      </c>
    </row>
    <row r="35" spans="1:4" x14ac:dyDescent="0.2">
      <c r="A35" s="44"/>
      <c r="B35" s="44"/>
    </row>
    <row r="36" spans="1:4" x14ac:dyDescent="0.2">
      <c r="A36" s="44"/>
      <c r="B36" s="44"/>
    </row>
    <row r="37" spans="1:4" x14ac:dyDescent="0.2">
      <c r="A37" s="48" t="s">
        <v>181</v>
      </c>
      <c r="B37" s="44" t="e">
        <f>SQRT((B30*B34)^2)-((B28)^2)/(B31*B32)</f>
        <v>#VALUE!</v>
      </c>
      <c r="C37" s="44"/>
      <c r="D37" s="44"/>
    </row>
    <row r="38" spans="1:4" x14ac:dyDescent="0.2">
      <c r="A38" s="48" t="s">
        <v>182</v>
      </c>
      <c r="B38" s="44" t="e">
        <f>SQRT((B28)^2)+(B37)^2</f>
        <v>#VALUE!</v>
      </c>
      <c r="C38" s="44"/>
      <c r="D38" s="44"/>
    </row>
    <row r="39" spans="1:4" x14ac:dyDescent="0.2">
      <c r="A39" s="48" t="s">
        <v>189</v>
      </c>
      <c r="B39" s="49" t="e">
        <f>B38</f>
        <v>#VALUE!</v>
      </c>
    </row>
    <row r="43" spans="1:4" x14ac:dyDescent="0.2">
      <c r="B43" s="45" t="s">
        <v>184</v>
      </c>
      <c r="C43" s="45" t="s">
        <v>186</v>
      </c>
    </row>
    <row r="44" spans="1:4" x14ac:dyDescent="0.2">
      <c r="B44" s="45" t="s">
        <v>183</v>
      </c>
      <c r="C44" s="45" t="s">
        <v>187</v>
      </c>
    </row>
    <row r="45" spans="1:4" x14ac:dyDescent="0.2">
      <c r="A45" s="48"/>
      <c r="B45" s="45" t="s">
        <v>185</v>
      </c>
      <c r="C45" s="45" t="s">
        <v>188</v>
      </c>
      <c r="D45" s="44"/>
    </row>
    <row r="46" spans="1:4" x14ac:dyDescent="0.2">
      <c r="A46" s="48"/>
      <c r="B46" s="44"/>
      <c r="C46" s="44"/>
      <c r="D46" s="44"/>
    </row>
    <row r="47" spans="1:4" x14ac:dyDescent="0.2">
      <c r="A47" s="48"/>
    </row>
    <row r="48" spans="1:4" x14ac:dyDescent="0.2">
      <c r="A48" s="48"/>
      <c r="C48" s="63"/>
    </row>
    <row r="49" spans="1:3" x14ac:dyDescent="0.2">
      <c r="A49" s="48"/>
      <c r="C49" s="63"/>
    </row>
    <row r="50" spans="1:3" x14ac:dyDescent="0.2">
      <c r="A50" s="48"/>
    </row>
    <row r="56" spans="1:3" x14ac:dyDescent="0.2">
      <c r="B56" s="49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7" bestFit="1" customWidth="1"/>
    <col min="2" max="2" width="17" style="37" bestFit="1" customWidth="1"/>
    <col min="3" max="3" width="15.140625" style="37" bestFit="1" customWidth="1"/>
    <col min="4" max="4" width="15.85546875" style="37" bestFit="1" customWidth="1"/>
    <col min="5" max="5" width="11.28515625" style="37" bestFit="1" customWidth="1"/>
    <col min="6" max="9" width="12.28515625" style="37" bestFit="1" customWidth="1"/>
    <col min="10" max="10" width="13.28515625" style="37" bestFit="1" customWidth="1"/>
    <col min="11" max="11" width="11.28515625" style="37" bestFit="1" customWidth="1"/>
    <col min="12" max="15" width="13.28515625" style="37" bestFit="1" customWidth="1"/>
    <col min="16" max="16" width="11.28515625" style="37" bestFit="1" customWidth="1"/>
    <col min="17" max="20" width="13.28515625" style="37" bestFit="1" customWidth="1"/>
    <col min="21" max="21" width="15.85546875" style="37" bestFit="1" customWidth="1"/>
    <col min="22" max="37" width="13.28515625" style="37" bestFit="1" customWidth="1"/>
    <col min="38" max="38" width="15.85546875" style="37" bestFit="1" customWidth="1"/>
    <col min="39" max="51" width="13.28515625" style="37" bestFit="1" customWidth="1"/>
    <col min="52" max="16384" width="9.140625" style="37"/>
  </cols>
  <sheetData>
    <row r="1" spans="1:52" ht="37.5" customHeight="1" x14ac:dyDescent="0.2">
      <c r="E1" s="65" t="s">
        <v>102</v>
      </c>
      <c r="F1" s="66"/>
      <c r="G1" s="66"/>
      <c r="H1" s="66"/>
      <c r="I1" s="66"/>
      <c r="J1" s="65" t="s">
        <v>103</v>
      </c>
      <c r="K1" s="66"/>
      <c r="L1" s="66"/>
      <c r="M1" s="66"/>
      <c r="N1" s="66"/>
      <c r="O1" s="65" t="s">
        <v>104</v>
      </c>
      <c r="P1" s="66"/>
      <c r="Q1" s="66"/>
      <c r="R1" s="66"/>
      <c r="S1" s="66"/>
      <c r="U1" s="65" t="s">
        <v>102</v>
      </c>
      <c r="V1" s="66"/>
      <c r="W1" s="66"/>
      <c r="X1" s="66"/>
      <c r="Y1" s="66"/>
      <c r="Z1" s="65" t="s">
        <v>103</v>
      </c>
      <c r="AA1" s="66"/>
      <c r="AB1" s="66"/>
      <c r="AC1" s="66"/>
      <c r="AD1" s="66"/>
      <c r="AE1" s="65" t="s">
        <v>104</v>
      </c>
      <c r="AF1" s="66"/>
      <c r="AG1" s="66"/>
      <c r="AH1" s="66"/>
      <c r="AI1" s="66"/>
    </row>
    <row r="2" spans="1:52" ht="28.5" customHeight="1" x14ac:dyDescent="0.2">
      <c r="A2" s="37" t="s">
        <v>108</v>
      </c>
      <c r="B2" s="37" t="s">
        <v>2</v>
      </c>
      <c r="C2" s="37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8"/>
    </row>
    <row r="3" spans="1:52" x14ac:dyDescent="0.2">
      <c r="A3" s="38"/>
      <c r="D3" s="38"/>
      <c r="L3" s="38"/>
      <c r="T3" s="38"/>
      <c r="AB3" s="38"/>
      <c r="AJ3" s="38"/>
      <c r="AR3" s="38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2024-02-27T18:28:40Z</dcterms:modified>
  <cp:category/>
  <cp:contentStatus/>
</cp:coreProperties>
</file>