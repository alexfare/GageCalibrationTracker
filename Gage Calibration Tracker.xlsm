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13/"/>
    </mc:Choice>
  </mc:AlternateContent>
  <xr:revisionPtr revIDLastSave="4877" documentId="13_ncr:1_{A1C948C8-EEAA-404C-8E94-5987839BD832}" xr6:coauthVersionLast="47" xr6:coauthVersionMax="47" xr10:uidLastSave="{03263DEA-F421-4376-8E41-97962E4B31B2}"/>
  <bookViews>
    <workbookView showHorizontalScroll="0" showSheetTabs="0" xWindow="30" yWindow="30" windowWidth="28770" windowHeight="1545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Lists!$A$2:$A$8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I8" i="41"/>
  <c r="J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<sst xmlns="http://schemas.openxmlformats.org/spreadsheetml/2006/main" count="248" uniqueCount="223">
  <si>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</si>
  <si>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</si>
  <si>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</si>
  <si>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</si>
  <si>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</si>
  <si>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</si>
  <si>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</si>
  <si>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</si>
  <si>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</si>
  <si>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</si>
  <si>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</si>
  <si>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</si>
  <si>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</si>
  <si>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</si>
  <si>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</si>
  <si>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</si>
  <si>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</si>
  <si>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</si>
  <si>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</si>
  <si>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</si>
  <si>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</si>
  <si>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</si>
  <si>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</si>
  <si>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</si>
  <si>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</si>
  <si>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</si>
  <si>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</si>
  <si>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</si>
  <si>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</si>
  <si>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</si>
  <si>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</si>
  <si>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</si>
  <si>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</si>
  <si>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</si>
  <si>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</si>
  <si>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</si>
  <si>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</si>
  <si>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</si>
  <si>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</si>
  <si>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>Reference Only</t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</si>
  <si>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</si>
  <si>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</si>
  <si>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</si>
  <si>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</si>
  <si>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</si>
  <si>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</si>
  <si>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</si>
  <si>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</si>
  <si>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</si>
  <si>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</si>
  <si>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</si>
  <si>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</si>
  <si>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</si>
  <si>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</si>
  <si>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</si>
  <si>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</si>
  <si>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</si>
  <si>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</si>
  <si>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</si>
  <si>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</si>
  <si>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</si>
  <si>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</si>
  <si>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</si>
  <si>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</si>
  <si>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</si>
  <si>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</si>
  <si>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</si>
  <si>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</si>
  <si>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</si>
  <si>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</si>
  <si>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</si>
  <si>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</si>
  <si>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</si>
  <si>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</si>
  <si>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</si>
  <si>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</si>
  <si>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</si>
  <si>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</si>
  <si>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</si>
  <si>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</si>
  <si>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</si>
  <si>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</si>
  <si>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</si>
  <si>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</si>
  <si>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</si>
  <si>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</si>
  <si>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</si>
  <si>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</si>
  <si>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</si>
  <si>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</si>
  <si>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</si>
  <si>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</si>
  <si>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</si>
  <si>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</si>
  <si>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</si>
  <si>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</si>
  <si>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</si>
  <si>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</si>
  <si>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</si>
  <si>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</si>
  <si>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</si>
  <si>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</si>
  <si>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</si>
  <si>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</si>
  <si>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</si>
  <si>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</si>
  <si>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</si>
  <si>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</si>
  <si>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</si>
  <si>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</si>
  <si>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</si>
  <si>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</si>
  <si>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</si>
  <si>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</si>
  <si>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</si>
  <si>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</si>
  <si>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</si>
  <si>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</si>
  <si>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</si>
  <si>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</si>
  <si>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</si>
  <si>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</si>
  <si>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</si>
  <si>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</si>
  <si>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</si>
  <si>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</si>
  <si>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</si>
  <si>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</si>
  <si>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</si>
  <si>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</si>
  <si>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</si>
  <si>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</si>
  <si>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</si>
  <si>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</si>
  <si>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</si>
  <si>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</si>
  <si>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</si>
  <si>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</si>
  <si>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</si>
  <si>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</si>
  <si>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</si>
  <si>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</si>
  <si>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</si>
  <si>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</si>
  <si>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</si>
  <si>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</si>
  <si>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</si>
  <si>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</si>
  <si>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</si>
  <si>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</si>
  <si>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</si>
  <si>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</si>
  <si>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</si>
  <si>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</si>
  <si>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</si>
  <si>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</si>
  <si>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</si>
  <si>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</si>
  <si>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</si>
  <si>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</si>
  <si>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</si>
  <si>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</si>
  <si>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</si>
  <si>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</si>
  <si>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</si>
  <si>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</si>
  <si>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</si>
  <si>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</si>
  <si>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</si>
  <si>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</si>
  <si>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</si>
  <si>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</si>
  <si>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</si>
  <si>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</si>
  <si>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</si>
  <si>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</si>
  <si>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</si>
  <si>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</si>
  <si>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</si>
  <si>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</si>
  <si>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</si>
  <si>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</si>
  <si>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</si>
  <si>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</si>
  <si>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</si>
  <si>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</si>
  <si>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</si>
  <si>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</si>
  <si>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</si>
  <si>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</si>
  <si>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</si>
  <si>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</si>
  <si>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</si>
  <si>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</si>
  <si>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</si>
  <si>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</si>
  <si>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</si>
  <si>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</si>
  <si>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</si>
  <si>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</si>
  <si>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</si>
  <si>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</si>
  <si>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</si>
  <si>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</si>
  <si>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</si>
  <si>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</si>
  <si>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</si>
  <si>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</si>
  <si>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</si>
  <si>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</si>
  <si>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</si>
  <si>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</si>
  <si>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</si>
  <si>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</si>
  <si>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CurrentVersion</t>
  </si>
  <si>
    <t>Report Password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</si>
  <si>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</si>
  <si>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</si>
  <si>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</si>
  <si>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>Interval</t>
  </si>
  <si>
    <t>4.6.13</t>
  </si>
  <si>
    <t>v4.6.13</t>
  </si>
  <si>
    <t xml:space="preserve"> | Date: 5/6/2024 10:25:02 AM
 User: Alex Fare
 Action: Updated Gage | 
 | Date: 5/6/2024 10:25:04 AM
 User: Alex Fare
 Action: Searched | 
 | Date: 5/7/2024 1:48:36 PM
 User: Alex Fare
 Action: Searched | 
 _x000D_
 | Date: 5/10/2024 1:14:01 PM_x000D_
 User: Alex Fare_x000D_
 Action: Searched | _x000D_
 _x000D_
 | Date: 5/10/2024 1:14:50 PM_x000D_
 User: Alex Fare_x000D_
 Action: Updated Gage | _x000D_
 _x000D_
 | Date: 5/10/2024 1:14:51 PM_x000D_
 User: Alex Fare_x000D_
 Action: Searched | _x000D_
 _x000D_
 | Date: 5/13/2024 8:26:17 AM_x000D_
 User: Alex Fare_x000D_
 Action: Searched | _x000D_
 _x000D_
 | Date: 5/13/2024 8:28:25 AM_x000D_
 User: Alex Fare_x000D_
 Action: Searched | _x000D_
 _x000D_
 | Date: 5/15/2024 12:20:59 PM_x000D_
 User: Alex Fare_x000D_
 Action: Searched | _x000D_
 _x000D_
 | Date: 5/15/2024 12:21:05 PM_x000D_
 User: Alex Fare_x000D_
 Action: Searched | _x000D_
 _x000D_
 | Date: 5/15/2024 12:24:25 PM_x000D_
 User: Alex Fare_x000D_
 Action: Searched | _x000D_
 _x000D_
 | Date: 5/15/2024 12:25:23 PM_x000D_
 User: Alex Fare_x000D_
 Action: Updated Gage | _x000D_
 _x000D_
 | Date: 5/15/2024 12:25:25 PM_x000D_
 User: Alex Fare_x000D_
 Action: Searched | _x000D_
 _x000D_
 | Date: 5/20/2024 11:26:23 AM_x000D_
 User: Alex Fare_x000D_
 Action: Searched | _x000D_
 _x000D_
 | Date: 5/20/2024 11:28:22 AM_x000D_
 User: Alex Fare_x000D_
 Action: Searched | _x000D_
 _x000D_
 | Date: 5/20/2024 11:28:37 AM_x000D_
 User: Alex Fare_x000D_
 Action: Searched | _x000D_
 _x000D_
 | Date: 5/20/2024 11:29:02 AM_x000D_
 User: Alex Fare_x000D_
 Action: Searched | _x000D_
 _x000D_
 | Date: 5/20/2024 11:29:17 AM_x000D_
 User: Alex Fare_x000D_
 Action: Searched | _x000D_
 _x000D_
 | Date: 5/20/2024 11:29:25 AM_x000D_
 User: Alex Fare_x000D_
 Action: Searched | _x000D_
 _x000D_
 | Date: 5/20/2024 12:07:27 PM_x000D_
 User: Alex Fare_x000D_
 Action: Searched | _x000D_
 _x000D_
 | Date: 5/20/2024 12:12:46 PM_x000D_
 User: Alex Fare_x000D_
 Action: Searched | _x000D_
 _x000D_
 | Date: 5/28/2024 10:38:50 AM_x000D_
 User: Alex Fare_x000D_
 Action: Searched | _x000D_
 _x000D_
 | Date: 5/28/2024 10:39:02 AM_x000D_
 User: Alex Fare_x000D_
 Action: Searched | _x000D_
 _x000D_
 | Date: 5/28/2024 10:39:10 AM_x000D_
 User: Alex Fare_x000D_
 Action: Searched | _x000D_
 _x000D_
 | Date: 5/28/2024 2:04:09 PM_x000D_
 User: Alex Fare_x000D_
 Action: Searched | _x000D_
 _x000D_
 | Date: 5/28/2024 2:06:31 PM_x000D_
 User: Alex Fare_x000D_
 Action: Searched | _x000D_
 _x000D_
 | Date: 5/28/2024 2:07:25 PM_x000D_
 User: Alex Fare_x000D_
 Action: Searched | _x000D_
 _x000D_
 | Date: 5/28/2024 2:07:52 PM_x000D_
 User: Alex Fare_x000D_
 Action: Searched | _x000D_
 _x000D_
 | Date: 5/28/2024 2:29:11 PM_x000D_
 User: Alex Fare_x000D_
 Action: Searched | _x000D_
 _x000D_
 | Date: 5/28/2024 2:29:19 PM_x000D_
 User: Alex Fare_x000D_
 Action: Updated Gage | _x000D_
 _x000D_
 | Date: 5/28/2024 2:29:21 PM_x000D_
 User: Alex Fare_x000D_
 Action: Searched | _x000D_
 _x000D_
 | Date: 5/28/2024 2:29:37 PM_x000D_
 User: Alex Fare_x000D_
 Action: Searched | _x000D_
 _x000D_
 | Date: 5/28/2024 2:29:45 PM_x000D_
 User: Alex Fare_x000D_
 Action: Updated Gage | _x000D_
 _x000D_
 | Date: 5/28/2024 2:29:47 PM_x000D_
 User: Alex Fare_x000D_
 Action: Searched | _x000D_
 _x000D_
 | Date: 5/28/2024 2:31:10 PM_x000D_
 User: Alex Fare_x000D_
 Action: Searched | _x000D_
 _x000D_
 | Date: 5/28/2024 2:32:48 PM_x000D_
 User: Alex Fare_x000D_
 Action: Searched | _x000D_
 _x000D_
 | Date: 5/28/2024 2:33:05 PM_x000D_
 User: Alex Fare_x000D_
 Action: Searched | _x000D_
 _x000D_
 | Date: 5/28/2024 2:34:02 PM_x000D_
 User: Alex Fare_x000D_
 Action: Searched | _x000D_
 _x000D_
 | Date: 5/29/2024 7:19:31 AM_x000D_
 User: Alex Fare_x000D_
 Action: Searched | _x000D_
 _x000D_
 | Date: 5/29/2024 7:20:19 AM_x000D_
 User: Alex Fare_x000D_
 Action: Updated Gage | _x000D_
 _x000D_
 | Date: 5/29/2024 7:20:22 AM_x000D_
 User: Alex Fare_x000D_
 Action: Searched | _x000D_
 _x000D_
 | Date: 5/29/2024 7:27:34 AM_x000D_
 User: Alex Fare_x000D_
 Action: Searched | _x000D_
 _x000D_
 | Date: 5/29/2024 7:27:44 AM_x000D_
 User: Alex Fare_x000D_
 Action: Updated Gage | _x000D_
 _x000D_
 | Date: 5/29/2024 7:27:46 AM_x000D_
 User: Alex Fare_x000D_
 Action: Searched | _x000D_
 _x000D_
 | Date: 5/29/2024 7:27:52 AM_x000D_
 User: Alex Fare_x000D_
 Action: Searched | _x000D_
 _x000D_
 | Date: 5/29/2024 7:29:43 AM_x000D_
 User: Alex Fare_x000D_
 Action: Searched | _x000D_
 _x000D_
 | Date: 5/29/2024 7:31:54 AM_x000D_
 User: Alex Fare_x000D_
 Action: Searched | _x000D_
 _x000D_
 | Date: 5/29/2024 7:31:59 AM_x000D_
 User: Alex Fare_x000D_
 Action: Updated Gage | _x000D_
 _x000D_
 | Date: 5/29/2024 7:32:01 AM_x000D_
 User: Alex Fare_x000D_
 Action: Searched | _x000D_
 _x000D_
 | Date: 5/29/2024 7:32:21 AM_x000D_
 User: Alex Fare_x000D_
 Action: Searched | _x000D_
 _x000D_
 | Date: 5/29/2024 7:33:47 AM_x000D_
 User: Alex Fare_x000D_
 Action: Searched | _x000D_
 _x000D_
 | Date: 5/29/2024 7:33:50 AM_x000D_
 User: Alex Fare_x000D_
 Action: Updated Gage | _x000D_
 _x000D_
 | Date: 5/29/2024 7:33:53 AM_x000D_
 User: Alex Fare_x000D_
 Action: Searched | _x000D_
 _x000D_
 | Date: 5/29/2024 7:34:46 AM_x000D_
 User: Alex Fare_x000D_
 Action: Searched | _x000D_
 _x000D_
 | Date: 5/29/2024 7:34:50 AM_x000D_
 User: Alex Fare_x000D_
 Action: Updated Gage | _x000D_
 _x000D_
 | Date: 5/29/2024 7:34:53 AM_x000D_
 User: Alex Fare_x000D_
 Action: Searched | _x000D_
 _x000D_
 | Date: 5/29/2024 7:35:05 AM_x000D_
 User: Alex Fare_x000D_
 Action: Searched | _x000D_
 _x000D_
 | Date: 5/29/2024 7:35:09 AM_x000D_
 User: Alex Fare_x000D_
 Action: Updated Gage | _x000D_
 _x000D_
 | Date: 5/29/2024 7:35:10 AM_x000D_
 User: Alex Fare_x000D_
 Action: Searched | _x000D_
 _x000D_
 | Date: 5/29/2024 7:35:27 AM_x000D_
 User: Alex Fare_x000D_
 Action: Searched | _x000D_
 _x000D_
 | Date: 5/29/2024 7:35:29 AM_x000D_
 User: Alex Fare_x000D_
 Action: Updated Gage | _x000D_
 _x000D_
 | Date: 5/29/2024 7:35:30 AM_x000D_
 User: Alex Fare_x000D_
 Action: Searched | _x000D_
 _x000D_
 | Date: 5/29/2024 7:36:48 AM_x000D_
 User: Alex Fare_x000D_
 Action: Searched | _x000D_
 _x000D_
 | Date: 5/29/2024 7:36:52 AM_x000D_
 User: Alex Fare_x000D_
 Action: Updated Gage | _x000D_
 _x000D_
 | Date: 5/29/2024 7:36:54 AM_x000D_
 User: Alex Fare_x000D_
 Action: Searched | _x000D_
 _x000D_
 | Date: 5/29/2024 7:36:56 AM_x000D_
 User: Alex Fare_x000D_
 Action: Searched | _x000D_
 _x000D_
 | Date: 5/29/2024 7:37:16 AM_x000D_
 User: Alex Fare_x000D_
 Action: Updated Gage | _x000D_
 _x000D_
 | Date: 5/29/2024 7:37:18 AM_x000D_
 User: Alex Fare_x000D_
 Action: Searched | _x000D_
 _x000D_
 | Date: 5/29/2024 7:37:26 AM_x000D_
 User: Alex Fare_x000D_
 Action: Searched | _x000D_
 _x000D_
 | Date: 5/29/2024 7:38:34 AM_x000D_
 User: Alex Fare_x000D_
 Action: Searched | _x000D_
 _x000D_
 | Date: 5/29/2024 7:38:42 AM_x000D_
 User: Alex Fare_x000D_
 Action: Updated Gage | _x000D_
 _x000D_
 | Date: 5/29/2024 7:38:43 AM_x000D_
 User: Alex Fare_x000D_
 Action: Searched | _x000D_
 _x000D_
 | Date: 5/29/2024 8:09:47 AM_x000D_
 User: Alex Fare_x000D_
 Action: Searched | _x000D_
 _x000D_
 | Date: 5/29/2024 8:15:03 AM_x000D_
 User: Alex Fare_x000D_
 Action: Updated Gage | _x000D_
 _x000D_
 | Date: 5/29/2024 8:15:05 AM_x000D_
 User: Alex Fare_x000D_
 Action: Searched | _x000D_
 _x000D_
 | Date: 5/29/2024 8:15:47 AM_x000D_
 User: Alex Fare_x000D_
 Action: Searched | _x000D_
 _x000D_
 | Date: 5/29/2024 8:16:48 AM_x000D_
 User: Alex Fare_x000D_
 Action: Updated Gage | _x000D_
 _x000D_
 | Date: 5/29/2024 8:16:50 AM_x000D_
 User: Alex Fare_x000D_
 Action: Searched | _x000D_
 _x000D_
 | Date: 5/29/2024 8:16:51 AM_x000D_
 User: Alex Fare_x000D_
 Action: Searched | _x000D_
 _x000D_
 | Date: 5/29/2024 8:17:16 AM_x000D_
 User: Alex Fare_x000D_
 Action: Searched | _x000D_
 _x000D_
 | Date: 5/29/2024 8:18:48 AM_x000D_
 User: Alex Fare_x000D_
 Action: Updated Gage | _x000D_
 _x000D_
 | Date: 5/29/2024 8:18:50 AM_x000D_
 User: Alex Fare_x000D_
 Action: Searched | _x000D_
 _x000D_
 | Date: 5/29/2024 8:18:55 AM_x000D_
 User: Alex Fare_x000D_
 Action: Searched | _x000D_
 _x000D_
 | Date: 5/29/2024 8:19:29 AM_x000D_
 User: Alex Fare_x000D_
 Action: Updated Gage | _x000D_
 _x000D_
 | Date: 5/29/2024 8:19:31 AM_x000D_
 User: Alex Fare_x000D_
 Action: Searched | _x000D_
 _x000D_
 | Date: 5/29/2024 8:20:15 AM_x000D_
 User: Alex Fare_x000D_
 Action: Searched | _x000D_
 _x000D_
 | Date: 5/29/2024 8:20:52 AM_x000D_
 User: Alex Fare_x000D_
 Action: Updated Gage | _x000D_
 _x000D_
 | Date: 5/29/2024 8:20:54 AM_x000D_
 User: Alex Fare_x000D_
 Action: Searched | _x000D_
 _x000D_
 | Date: 5/29/2024 8:21:51 AM_x000D_
 User: Alex Fare_x000D_
 Action: Searched | _x000D_
 _x000D_
 | Date: 5/29/2024 8:22:19 AM_x000D_
 User: Alex Fare_x000D_
 Action: Updated Gage | _x000D_
 _x000D_
 | Date: 5/29/2024 8:22:21 AM_x000D_
 User: Alex Fare_x000D_
 Action: Searched | _x000D_
 _x000D_
 | Date: 5/29/2024 8:30:08 AM_x000D_
 User: Alex Fare_x000D_
 Action: Searched | _x000D_
 _x000D_
 | Date: 5/30/2024 8:46:45 AM_x000D_
 User: Alex Fare_x000D_
 Action: Searched | _x000D_
 _x000D_
 | Date: 5/30/2024 8:46:59 AM_x000D_
 User: Alex Fare_x000D_
 Action: Searched | _x000D_
 _x000D_
 | Date: 5/30/2024 8:47:22 AM_x000D_
 User: Alex Fare_x000D_
 Action: Searched | _x000D_
 _x000D_
 | Date: 5/30/2024 8:47:36 AM_x000D_
 User: Alex Fare_x000D_
 Action: Searched | _x000D_
 _x000D_
 | Date: 5/30/2024 9:08:23 AM_x000D_
 User: Alex Fare_x000D_
 Action: Searched | _x000D_
 _x000D_
 | Date: 5/30/2024 9:09:02 AM_x000D_
 User: Alex Fare_x000D_
 Action: Searched | _x000D_
 _x000D_
 | Date: 5/30/2024 9:09:14 AM_x000D_
 User: Alex Fare_x000D_
 Action: Searched | _x000D_
 _x000D_
 | Date: 5/30/2024 9:09:48 AM_x000D_
 User: Alex Fare_x000D_
 Action: Searched | _x000D_
 _x000D_
 | Date: 5/30/2024 9:09:57 AM_x000D_
 User: Alex Fare_x000D_
 Action: Searched | _x000D_
 _x000D_
 | Date: 5/30/2024 9:10:11 AM_x000D_
 User: Alex Fare_x000D_
 Action: Searched | _x000D_
 _x000D_
 | Date: 5/30/2024 9:10:15 AM_x000D_
 User: Alex Fare_x000D_
 Action: Searched | _x000D_
 _x000D_
 | Date: 5/30/2024 9:10:24 AM_x000D_
 User: Alex Fare_x000D_
 Action: Searched | _x000D_
 _x000D_
 | Date: 5/30/2024 9:10:53 AM_x000D_
 User: Alex Fare_x000D_
 Action: Updated Gage | _x000D_
 _x000D_
 | Date: 5/30/2024 9:10:54 AM_x000D_
 User: Alex Fare_x000D_
 Action: Searched | _x000D_
 _x000D_
 | Date: 5/30/2024 9:11:10 AM_x000D_
 User: Alex Fare_x000D_
 Action: Searched | _x000D_
 _x000D_
 | Date: 5/30/2024 9:12:12 AM_x000D_
 User: Alex Fare_x000D_
 Action: Searched | _x000D_
 _x000D_
 | Date: 5/30/2024 9:12:55 AM_x000D_
 User: Alex Fare_x000D_
 Action: Searched | _x000D_
 _x000D_
 | Date: 5/30/2024 9:13:14 AM_x000D_
 User: Alex Fare_x000D_
 Action: Searched | _x000D_
 _x000D_
 | Date: 5/30/2024 9:13:24 AM_x000D_
 User: Alex Fare_x000D_
 Action: Searched | _x000D_
 _x000D_
 | Date: 5/30/2024 9:14:12 AM_x000D_
 User: Alex Fare_x000D_
 Action: Updated Gage | _x000D_
 _x000D_
 | Date: 5/30/2024 9:14:14 AM_x000D_
 User: Alex Fare_x000D_
 Action: Searched | _x000D_
 _x000D_
 | Date: 5/30/2024 9:18:25 AM_x000D_
 User: Alex Fare_x000D_
 Action: Searched | _x000D_
 _x000D_
 | Date: 5/30/2024 9:20:30 AM_x000D_
 User: Alex Fare_x000D_
 Action: Searched | _x000D_
 _x000D_
 | Date: 5/30/2024 9:21:28 AM_x000D_
 User: Alex Fare_x000D_
 Action: Searched | _x000D_
 _x000D_
 | Date: 5/30/2024 9:22:21 AM_x000D_
 User: Alex Fare_x000D_
 Action: Searched | _x000D_
 _x000D_
 | Date: 5/30/2024 9:23:34 AM_x000D_
 User: Alex Fare_x000D_
 Action: Searched | _x000D_
 _x000D_
 | Date: 5/30/2024 9:24:32 AM_x000D_
 User: Alex Fare_x000D_
 Action: Searched | _x000D_
 _x000D_
 | Date: 5/30/2024 9:24:36 AM_x000D_
 User: Alex Fare_x000D_
 Action: Searched | _x000D_
 _x000D_
 | Date: 5/30/2024 9:24:53 AM_x000D_
 User: Alex Fare_x000D_
 Action: Searched | _x000D_
 _x000D_
 | Date: 5/30/2024 9:25:51 AM_x000D_
 User: Alex Fare_x000D_
 Action: Searched | _x000D_
 _x000D_
 | Date: 5/30/2024 9:53:41 AM_x000D_
 User: Alex Fare_x000D_
 Action: Searched | _x000D_
 _x000D_
 | Date: 5/30/2024 9:55:31 AM_x000D_
 User: Alex Fare_x000D_
 Action: Searched | _x000D_
 _x000D_
 | Date: 5/31/2024 1:41:32 PM_x000D_
 User: Alex Fare_x000D_
 Action: Searched | _x000D_
 _x000D_
 | Date: 5/31/2024 1:43:02 PM_x000D_
 User: Alex Fare_x000D_
 Action: Searched | _x000D_
 _x000D_
 | Date: 5/31/2024 1:43:07 PM_x000D_
 User: Alex Fare_x000D_
 Action: Updated Gage | _x000D_
 _x000D_
 | Date: 5/31/2024 1:43:09 PM_x000D_
 User: Alex Fare_x000D_
 Action: Searched | _x000D_
 _x000D_
 | Date: 5/31/2024 1:44:25 PM_x000D_
 User: Alex Fare_x000D_
 Action: Updated Gage | _x000D_
 _x000D_
 | Date: 5/31/2024 1:44:26 PM_x000D_
 User: Alex Fare_x000D_
 Action: Searched | _x000D_
 _x000D_
 | Date: 5/31/2024 1:44:30 PM_x000D_
 User: Alex Fare_x000D_
 Action: Searched | _x000D_
 _x000D_
 | Date: 5/31/2024 1:45:22 PM_x000D_
 User: Alex Fare_x000D_
 Action: Updated Gage | _x000D_
 _x000D_
 | Date: 5/31/2024 1:45:24 PM_x000D_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</si>
</sst>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Interval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C6" sqref="C6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4" t="s">
        <v>0</v>
      </c>
      <c r="C1" s="55"/>
      <c r="D1" s="55"/>
      <c r="E1" s="55"/>
      <c r="F1" s="55"/>
      <c r="G1" s="55"/>
      <c r="H1" s="56"/>
      <c r="I1" s="57">
        <f ca="1">TODAY()</f>
        <v>45443</v>
      </c>
      <c r="J1" s="58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221</v>
      </c>
      <c r="BL1" s="1" t="s">
        <v>205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2" t="s">
        <v>213</v>
      </c>
      <c r="I2" s="23" t="s">
        <v>8</v>
      </c>
      <c r="J2" s="23" t="s">
        <v>9</v>
      </c>
      <c r="K2" s="26" t="s">
        <v>187</v>
      </c>
      <c r="L2" s="27" t="s">
        <v>188</v>
      </c>
      <c r="M2" s="26" t="s">
        <v>191</v>
      </c>
      <c r="N2" s="26" t="s">
        <v>194</v>
      </c>
      <c r="O2" s="26" t="s">
        <v>219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105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3" t="s">
        <v>198</v>
      </c>
      <c r="B2" s="23" t="s">
        <v>199</v>
      </c>
      <c r="C2" s="23" t="s">
        <v>200</v>
      </c>
      <c r="D2" s="23" t="s">
        <v>201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4" sqref="E4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195</v>
      </c>
      <c r="B1" s="48"/>
      <c r="C1" s="48"/>
      <c r="D1" s="48"/>
      <c r="E1" s="48"/>
      <c r="F1" s="48"/>
    </row>
    <row r="2" spans="1:6" x14ac:dyDescent="0.2">
      <c r="A2" s="59" t="s">
        <v>222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C68" sqref="C68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97</v>
      </c>
      <c r="B1" s="6"/>
      <c r="C1" s="6" t="s">
        <v>212</v>
      </c>
      <c r="BL1" t="s">
        <v>205</v>
      </c>
    </row>
    <row r="2" spans="1:64" x14ac:dyDescent="0.2">
      <c r="A2" t="s">
        <v>80</v>
      </c>
    </row>
    <row r="3" spans="1:64" x14ac:dyDescent="0.2">
      <c r="A3" t="s">
        <v>69</v>
      </c>
    </row>
    <row r="4" spans="1:64" x14ac:dyDescent="0.2">
      <c r="A4" t="s">
        <v>70</v>
      </c>
    </row>
    <row r="5" spans="1:64" x14ac:dyDescent="0.2">
      <c r="A5" s="6" t="s">
        <v>79</v>
      </c>
      <c r="B5" s="6"/>
    </row>
    <row r="6" spans="1:64" x14ac:dyDescent="0.2">
      <c r="A6" t="s">
        <v>81</v>
      </c>
    </row>
    <row r="7" spans="1:64" x14ac:dyDescent="0.2">
      <c r="A7" t="s">
        <v>82</v>
      </c>
    </row>
    <row r="8" spans="1:64" x14ac:dyDescent="0.2">
      <c r="A8" t="s">
        <v>83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84</v>
      </c>
    </row>
    <row r="26" spans="1:1" x14ac:dyDescent="0.2">
      <c r="A26" s="6" t="s">
        <v>85</v>
      </c>
    </row>
    <row r="27" spans="1:1" x14ac:dyDescent="0.2">
      <c r="A27" s="6" t="s">
        <v>86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96</v>
      </c>
    </row>
    <row r="47" spans="1:1" x14ac:dyDescent="0.2">
      <c r="A47" s="6" t="s">
        <v>87</v>
      </c>
    </row>
    <row r="48" spans="1:1" x14ac:dyDescent="0.2">
      <c r="A48" s="6" t="s">
        <v>88</v>
      </c>
    </row>
    <row r="49" spans="1:5" x14ac:dyDescent="0.2">
      <c r="A49" s="6" t="s">
        <v>89</v>
      </c>
    </row>
    <row r="50" spans="1:5" x14ac:dyDescent="0.2">
      <c r="A50" s="6" t="s">
        <v>90</v>
      </c>
    </row>
    <row r="51" spans="1:5" x14ac:dyDescent="0.2">
      <c r="A51" s="6" t="s">
        <v>91</v>
      </c>
    </row>
    <row r="52" spans="1:5" x14ac:dyDescent="0.2">
      <c r="A52" s="6" t="s">
        <v>98</v>
      </c>
    </row>
    <row r="53" spans="1:5" x14ac:dyDescent="0.2">
      <c r="A53" s="6" t="s">
        <v>93</v>
      </c>
    </row>
    <row r="54" spans="1:5" x14ac:dyDescent="0.2">
      <c r="A54" s="6" t="s">
        <v>154</v>
      </c>
    </row>
    <row r="55" spans="1:5" x14ac:dyDescent="0.2">
      <c r="A55" s="6" t="s">
        <v>94</v>
      </c>
      <c r="B55" s="6"/>
      <c r="C55" s="60" t="s">
        <v>208</v>
      </c>
      <c r="D55" s="60"/>
      <c r="E55" s="60"/>
    </row>
    <row r="56" spans="1:5" x14ac:dyDescent="0.2">
      <c r="A56" s="6" t="s">
        <v>209</v>
      </c>
      <c r="C56" s="60" t="s">
        <v>95</v>
      </c>
      <c r="D56" s="60"/>
      <c r="E56" s="60"/>
    </row>
    <row r="57" spans="1:5" x14ac:dyDescent="0.2">
      <c r="A57" s="6" t="s">
        <v>92</v>
      </c>
      <c r="C57" s="40" t="s">
        <v>156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210</v>
      </c>
      <c r="C59" s="60" t="s">
        <v>95</v>
      </c>
      <c r="D59" s="60"/>
      <c r="E59" s="60"/>
    </row>
    <row r="60" spans="1:5" x14ac:dyDescent="0.2">
      <c r="A60" s="6" t="s">
        <v>157</v>
      </c>
      <c r="C60" s="60" t="s">
        <v>95</v>
      </c>
      <c r="D60" s="60"/>
      <c r="E60" s="60"/>
    </row>
    <row r="61" spans="1:5" x14ac:dyDescent="0.2">
      <c r="A61" s="6" t="s">
        <v>158</v>
      </c>
      <c r="C61" s="60" t="s">
        <v>159</v>
      </c>
      <c r="D61" s="60"/>
      <c r="E61" s="60"/>
    </row>
    <row r="62" spans="1:5" x14ac:dyDescent="0.2">
      <c r="A62" s="6" t="s">
        <v>189</v>
      </c>
      <c r="C62" s="60" t="s">
        <v>190</v>
      </c>
      <c r="D62" s="60"/>
      <c r="E62" s="60"/>
    </row>
    <row r="63" spans="1:5" x14ac:dyDescent="0.2">
      <c r="A63" s="6" t="s">
        <v>196</v>
      </c>
      <c r="B63" s="6"/>
      <c r="C63" s="6" t="s">
        <v>197</v>
      </c>
    </row>
    <row r="64" spans="1:5" x14ac:dyDescent="0.2">
      <c r="A64" s="6" t="s">
        <v>202</v>
      </c>
      <c r="C64" s="60" t="s">
        <v>208</v>
      </c>
      <c r="D64" s="60"/>
      <c r="E64" s="60"/>
    </row>
    <row r="65" spans="1:3" x14ac:dyDescent="0.2">
      <c r="A65" s="6" t="s">
        <v>203</v>
      </c>
      <c r="B65" s="6" t="s">
        <v>204</v>
      </c>
    </row>
    <row r="66" spans="1:3" x14ac:dyDescent="0.2">
      <c r="A66" s="6" t="s">
        <v>206</v>
      </c>
      <c r="C66" s="6" t="s">
        <v>211</v>
      </c>
    </row>
    <row r="67" spans="1:3" x14ac:dyDescent="0.2">
      <c r="A67" s="6" t="s">
        <v>207</v>
      </c>
    </row>
    <row r="68" spans="1:3" x14ac:dyDescent="0.2">
      <c r="A68" s="6" t="s">
        <v>214</v>
      </c>
      <c r="B68" s="6" t="s">
        <v>220</v>
      </c>
    </row>
    <row r="69" spans="1:3" x14ac:dyDescent="0.2">
      <c r="A69" s="6" t="s">
        <v>215</v>
      </c>
      <c r="B69" s="53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192</v>
      </c>
    </row>
    <row r="2" spans="1:8" x14ac:dyDescent="0.2">
      <c r="A2" s="6" t="s">
        <v>155</v>
      </c>
      <c r="B2" s="6" t="s">
        <v>160</v>
      </c>
      <c r="C2" s="6"/>
      <c r="D2" s="6"/>
      <c r="E2" s="6"/>
      <c r="F2" s="6" t="s">
        <v>155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A8" sqref="A8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0" t="s">
        <v>73</v>
      </c>
      <c r="B1" s="11" t="s">
        <v>74</v>
      </c>
      <c r="C1" s="12" t="s">
        <v>75</v>
      </c>
      <c r="D1" s="12"/>
      <c r="E1" s="12"/>
      <c r="F1" s="12"/>
      <c r="I1" s="61" t="s">
        <v>218</v>
      </c>
      <c r="J1" s="61"/>
      <c r="K1" s="61"/>
      <c r="L1" s="61"/>
    </row>
    <row r="2" spans="1:12" x14ac:dyDescent="0.2">
      <c r="A2" s="13" t="s">
        <v>38</v>
      </c>
      <c r="B2" s="13" t="s">
        <v>46</v>
      </c>
      <c r="C2" s="13" t="s">
        <v>36</v>
      </c>
      <c r="D2" s="13"/>
      <c r="E2" s="13"/>
      <c r="F2" s="13"/>
      <c r="I2" s="61"/>
      <c r="J2" s="61"/>
      <c r="K2" s="61"/>
      <c r="L2" s="61"/>
    </row>
    <row r="3" spans="1:12" x14ac:dyDescent="0.2">
      <c r="A3" s="14" t="s">
        <v>42</v>
      </c>
      <c r="B3" s="14" t="s">
        <v>45</v>
      </c>
      <c r="C3" s="14" t="s">
        <v>55</v>
      </c>
      <c r="D3" s="14"/>
      <c r="E3" s="14"/>
      <c r="F3" s="14"/>
      <c r="I3" s="61"/>
      <c r="J3" s="61"/>
      <c r="K3" s="61"/>
      <c r="L3" s="61"/>
    </row>
    <row r="4" spans="1:12" x14ac:dyDescent="0.2">
      <c r="A4" s="14" t="s">
        <v>48</v>
      </c>
      <c r="B4" s="14" t="s">
        <v>41</v>
      </c>
      <c r="C4" s="14" t="s">
        <v>57</v>
      </c>
      <c r="D4" s="14"/>
      <c r="E4" s="14"/>
      <c r="F4" s="14"/>
      <c r="I4" s="61"/>
      <c r="J4" s="61"/>
      <c r="K4" s="61"/>
      <c r="L4" s="61"/>
    </row>
    <row r="5" spans="1:12" x14ac:dyDescent="0.2">
      <c r="A5" s="14" t="s">
        <v>60</v>
      </c>
      <c r="B5" s="14" t="s">
        <v>49</v>
      </c>
      <c r="C5" s="14" t="s">
        <v>43</v>
      </c>
      <c r="D5" s="14"/>
      <c r="E5" s="14"/>
      <c r="F5" s="14"/>
    </row>
    <row r="6" spans="1:12" x14ac:dyDescent="0.2">
      <c r="A6" s="14" t="s">
        <v>216</v>
      </c>
      <c r="B6" s="14" t="s">
        <v>76</v>
      </c>
      <c r="C6" s="14" t="s">
        <v>61</v>
      </c>
      <c r="D6" s="14"/>
      <c r="E6" s="14"/>
      <c r="F6" s="14"/>
    </row>
    <row r="7" spans="1:12" x14ac:dyDescent="0.2">
      <c r="A7" s="14" t="s">
        <v>217</v>
      </c>
      <c r="B7" s="14" t="s">
        <v>44</v>
      </c>
      <c r="C7" s="14" t="s">
        <v>58</v>
      </c>
      <c r="D7" s="14"/>
      <c r="E7" s="14"/>
      <c r="F7" s="14"/>
    </row>
    <row r="8" spans="1:12" x14ac:dyDescent="0.2">
      <c r="A8" s="14" t="s">
        <v>39</v>
      </c>
      <c r="B8" s="14" t="s">
        <v>37</v>
      </c>
      <c r="C8" s="14" t="s">
        <v>53</v>
      </c>
      <c r="D8" s="14"/>
      <c r="E8" s="14"/>
      <c r="F8" s="14"/>
    </row>
    <row r="9" spans="1:12" x14ac:dyDescent="0.2">
      <c r="A9" s="15"/>
      <c r="B9" s="14" t="s">
        <v>54</v>
      </c>
      <c r="C9" s="14" t="s">
        <v>59</v>
      </c>
      <c r="D9" s="14"/>
      <c r="E9" s="14"/>
      <c r="F9" s="14"/>
    </row>
    <row r="10" spans="1:12" x14ac:dyDescent="0.2">
      <c r="A10" s="15"/>
      <c r="B10" s="14" t="s">
        <v>47</v>
      </c>
      <c r="C10" s="14" t="s">
        <v>40</v>
      </c>
      <c r="D10" s="14"/>
      <c r="E10" s="14"/>
      <c r="F10" s="14"/>
    </row>
    <row r="11" spans="1:12" x14ac:dyDescent="0.2">
      <c r="A11" s="15"/>
      <c r="B11" s="15" t="s">
        <v>51</v>
      </c>
      <c r="C11" s="14" t="s">
        <v>65</v>
      </c>
      <c r="D11" s="14"/>
      <c r="E11" s="14"/>
      <c r="F11" s="14"/>
    </row>
    <row r="12" spans="1:12" x14ac:dyDescent="0.2">
      <c r="A12" s="15"/>
      <c r="B12" s="15"/>
      <c r="C12" s="14" t="s">
        <v>56</v>
      </c>
      <c r="D12" s="14"/>
      <c r="E12" s="14"/>
      <c r="F12" s="14"/>
    </row>
    <row r="13" spans="1:12" x14ac:dyDescent="0.2">
      <c r="A13" s="15"/>
      <c r="B13" s="15"/>
      <c r="C13" s="14" t="s">
        <v>50</v>
      </c>
      <c r="D13" s="14"/>
      <c r="E13" s="14"/>
      <c r="F13" s="14"/>
    </row>
    <row r="14" spans="1:12" x14ac:dyDescent="0.2">
      <c r="A14" s="15"/>
      <c r="B14" s="15"/>
      <c r="C14" s="14" t="s">
        <v>62</v>
      </c>
      <c r="D14" s="14"/>
      <c r="E14" s="14"/>
      <c r="F14" s="14"/>
    </row>
    <row r="15" spans="1:12" x14ac:dyDescent="0.2">
      <c r="A15" s="15"/>
      <c r="B15" s="15"/>
      <c r="C15" s="14" t="s">
        <v>52</v>
      </c>
      <c r="D15" s="14"/>
      <c r="E15" s="14"/>
      <c r="F15" s="14"/>
    </row>
    <row r="16" spans="1:12" x14ac:dyDescent="0.2">
      <c r="A16" s="15"/>
      <c r="B16" s="15"/>
      <c r="C16" s="14" t="s">
        <v>63</v>
      </c>
      <c r="D16" s="14"/>
      <c r="E16" s="14"/>
      <c r="F16" s="14"/>
    </row>
    <row r="17" spans="1:6" x14ac:dyDescent="0.2">
      <c r="A17" s="15"/>
      <c r="B17" s="15"/>
      <c r="C17" s="14" t="s">
        <v>64</v>
      </c>
      <c r="D17" s="15"/>
      <c r="E17" s="15"/>
      <c r="F17" s="15"/>
    </row>
    <row r="18" spans="1:6" x14ac:dyDescent="0.2">
      <c r="A18" s="15"/>
      <c r="B18" s="15"/>
      <c r="C18" s="14" t="s">
        <v>77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mergeCells count="1">
    <mergeCell ref="I1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68</v>
      </c>
      <c r="B1" s="20" t="s">
        <v>70</v>
      </c>
      <c r="C1" s="20" t="s">
        <v>78</v>
      </c>
      <c r="D1" s="21" t="s">
        <v>79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2" t="s">
        <v>161</v>
      </c>
      <c r="B1" s="62" t="s">
        <v>162</v>
      </c>
      <c r="C1" s="62" t="s">
        <v>163</v>
      </c>
      <c r="D1" s="62"/>
      <c r="E1" s="62"/>
      <c r="F1" s="62" t="s">
        <v>164</v>
      </c>
      <c r="G1" s="62" t="s">
        <v>165</v>
      </c>
      <c r="K1" s="65" t="s">
        <v>168</v>
      </c>
      <c r="L1" s="65" t="s">
        <v>170</v>
      </c>
    </row>
    <row r="2" spans="1:51" x14ac:dyDescent="0.2">
      <c r="A2" s="62"/>
      <c r="B2" s="62"/>
      <c r="C2" s="42">
        <v>1</v>
      </c>
      <c r="D2" s="42">
        <v>2</v>
      </c>
      <c r="E2" s="42">
        <v>3</v>
      </c>
      <c r="F2" s="62"/>
      <c r="G2" s="62"/>
      <c r="I2" s="43" t="s">
        <v>164</v>
      </c>
      <c r="J2" s="43" t="s">
        <v>165</v>
      </c>
      <c r="K2" s="65"/>
      <c r="L2" s="65"/>
    </row>
    <row r="3" spans="1:51" x14ac:dyDescent="0.2">
      <c r="A3" s="62">
        <v>1</v>
      </c>
      <c r="B3" s="42">
        <v>1</v>
      </c>
      <c r="C3" s="44">
        <v>1</v>
      </c>
      <c r="D3" s="44">
        <v>1</v>
      </c>
      <c r="E3" s="44">
        <v>1</v>
      </c>
      <c r="F3" s="45">
        <f>MAX(C3:E3)-MIN(C3:E3)</f>
        <v>0</v>
      </c>
      <c r="G3" s="42">
        <f>(C3+D3+E3)/3</f>
        <v>1</v>
      </c>
      <c r="H3" s="63" t="s">
        <v>193</v>
      </c>
      <c r="I3" s="62">
        <f>(F3+F4+F5+F6+F7)/5</f>
        <v>0.05</v>
      </c>
      <c r="J3" s="62">
        <f>(G3+G4+G5+G6+G7)/5</f>
        <v>1.0166666666666666</v>
      </c>
      <c r="K3" s="42">
        <f>(I3+I8+I13)/3</f>
        <v>5.000000000000001E-2</v>
      </c>
      <c r="L3" s="42">
        <f>MAX(J3:J17)-MIN(J3:J17)</f>
        <v>0</v>
      </c>
      <c r="AQ3" s="43" t="s">
        <v>153</v>
      </c>
      <c r="AR3" s="43" t="s">
        <v>153</v>
      </c>
      <c r="AS3" s="43" t="s">
        <v>153</v>
      </c>
      <c r="AT3" s="43" t="s">
        <v>153</v>
      </c>
      <c r="AV3" s="43" t="s">
        <v>153</v>
      </c>
      <c r="AW3" s="43" t="s">
        <v>153</v>
      </c>
      <c r="AX3" s="43" t="s">
        <v>153</v>
      </c>
      <c r="AY3" s="43" t="s">
        <v>153</v>
      </c>
    </row>
    <row r="4" spans="1:51" x14ac:dyDescent="0.2">
      <c r="A4" s="62"/>
      <c r="B4" s="42">
        <v>2</v>
      </c>
      <c r="C4" s="44">
        <v>1</v>
      </c>
      <c r="D4" s="44">
        <v>1</v>
      </c>
      <c r="E4" s="44">
        <v>1</v>
      </c>
      <c r="F4" s="45">
        <f t="shared" ref="F4:F17" si="0">MAX(C4:E4)-MIN(C4:E4)</f>
        <v>0</v>
      </c>
      <c r="G4" s="42">
        <f t="shared" ref="G4:G17" si="1">(C4+D4+E4)/3</f>
        <v>1</v>
      </c>
      <c r="H4" s="63"/>
      <c r="I4" s="62"/>
      <c r="J4" s="62"/>
      <c r="K4" s="42"/>
      <c r="L4" s="42"/>
    </row>
    <row r="5" spans="1:51" x14ac:dyDescent="0.2">
      <c r="A5" s="62"/>
      <c r="B5" s="42">
        <v>3</v>
      </c>
      <c r="C5" s="44">
        <v>1</v>
      </c>
      <c r="D5" s="44">
        <v>1</v>
      </c>
      <c r="E5" s="44">
        <v>1</v>
      </c>
      <c r="F5" s="45">
        <f t="shared" si="0"/>
        <v>0</v>
      </c>
      <c r="G5" s="42">
        <f t="shared" si="1"/>
        <v>1</v>
      </c>
      <c r="H5" s="63"/>
      <c r="I5" s="62"/>
      <c r="J5" s="62"/>
      <c r="K5" s="42"/>
      <c r="L5" s="42"/>
    </row>
    <row r="6" spans="1:51" x14ac:dyDescent="0.2">
      <c r="A6" s="62"/>
      <c r="B6" s="42">
        <v>4</v>
      </c>
      <c r="C6" s="44">
        <v>1</v>
      </c>
      <c r="D6" s="44">
        <v>1</v>
      </c>
      <c r="E6" s="44">
        <v>1</v>
      </c>
      <c r="F6" s="45">
        <f t="shared" si="0"/>
        <v>0</v>
      </c>
      <c r="G6" s="42">
        <f t="shared" si="1"/>
        <v>1</v>
      </c>
      <c r="H6" s="63"/>
      <c r="I6" s="62"/>
      <c r="J6" s="62"/>
      <c r="K6" s="42"/>
      <c r="L6" s="42"/>
    </row>
    <row r="7" spans="1:51" x14ac:dyDescent="0.2">
      <c r="A7" s="62"/>
      <c r="B7" s="42">
        <v>5</v>
      </c>
      <c r="C7" s="44">
        <v>1.25</v>
      </c>
      <c r="D7" s="44">
        <v>1</v>
      </c>
      <c r="E7" s="44">
        <v>1</v>
      </c>
      <c r="F7" s="45">
        <f t="shared" si="0"/>
        <v>0.25</v>
      </c>
      <c r="G7" s="42">
        <f t="shared" si="1"/>
        <v>1.0833333333333333</v>
      </c>
      <c r="H7" s="63"/>
      <c r="I7" s="62"/>
      <c r="J7" s="62"/>
      <c r="K7" s="42"/>
      <c r="L7" s="42"/>
    </row>
    <row r="8" spans="1:51" x14ac:dyDescent="0.2">
      <c r="A8" s="62">
        <v>2</v>
      </c>
      <c r="B8" s="42">
        <v>1</v>
      </c>
      <c r="C8" s="44">
        <v>1</v>
      </c>
      <c r="D8" s="44">
        <v>1</v>
      </c>
      <c r="E8" s="44">
        <v>1</v>
      </c>
      <c r="F8" s="45">
        <f t="shared" si="0"/>
        <v>0</v>
      </c>
      <c r="G8" s="42">
        <f t="shared" si="1"/>
        <v>1</v>
      </c>
      <c r="H8" s="63" t="s">
        <v>166</v>
      </c>
      <c r="I8" s="62">
        <f>(F8+F9+F10+F11+F12)/5</f>
        <v>0.05</v>
      </c>
      <c r="J8" s="62">
        <f>(G8+G9+G10+G11+G12)/5</f>
        <v>1.0166666666666666</v>
      </c>
      <c r="K8" s="42"/>
      <c r="L8" s="42"/>
    </row>
    <row r="9" spans="1:51" x14ac:dyDescent="0.2">
      <c r="A9" s="62"/>
      <c r="B9" s="42">
        <v>2</v>
      </c>
      <c r="C9" s="44">
        <v>1</v>
      </c>
      <c r="D9" s="44">
        <v>1</v>
      </c>
      <c r="E9" s="44">
        <v>1</v>
      </c>
      <c r="F9" s="45">
        <f t="shared" si="0"/>
        <v>0</v>
      </c>
      <c r="G9" s="42">
        <f t="shared" si="1"/>
        <v>1</v>
      </c>
      <c r="H9" s="63"/>
      <c r="I9" s="62"/>
      <c r="J9" s="62"/>
      <c r="K9" s="42"/>
      <c r="L9" s="42"/>
    </row>
    <row r="10" spans="1:51" x14ac:dyDescent="0.2">
      <c r="A10" s="62"/>
      <c r="B10" s="42">
        <v>3</v>
      </c>
      <c r="C10" s="44">
        <v>1</v>
      </c>
      <c r="D10" s="44">
        <v>1</v>
      </c>
      <c r="E10" s="44">
        <v>1</v>
      </c>
      <c r="F10" s="45">
        <f t="shared" si="0"/>
        <v>0</v>
      </c>
      <c r="G10" s="42">
        <f t="shared" si="1"/>
        <v>1</v>
      </c>
      <c r="H10" s="63"/>
      <c r="I10" s="62"/>
      <c r="J10" s="62"/>
      <c r="K10" s="42"/>
      <c r="L10" s="42"/>
    </row>
    <row r="11" spans="1:51" x14ac:dyDescent="0.2">
      <c r="A11" s="62"/>
      <c r="B11" s="42">
        <v>4</v>
      </c>
      <c r="C11" s="44">
        <v>1</v>
      </c>
      <c r="D11" s="44">
        <v>1</v>
      </c>
      <c r="E11" s="44">
        <v>1</v>
      </c>
      <c r="F11" s="45">
        <f t="shared" si="0"/>
        <v>0</v>
      </c>
      <c r="G11" s="42">
        <f t="shared" si="1"/>
        <v>1</v>
      </c>
      <c r="H11" s="63"/>
      <c r="I11" s="62"/>
      <c r="J11" s="62"/>
      <c r="K11" s="42"/>
      <c r="L11" s="42"/>
    </row>
    <row r="12" spans="1:51" x14ac:dyDescent="0.2">
      <c r="A12" s="62"/>
      <c r="B12" s="42">
        <v>5</v>
      </c>
      <c r="C12" s="44">
        <v>1.25</v>
      </c>
      <c r="D12" s="44">
        <v>1</v>
      </c>
      <c r="E12" s="44">
        <v>1</v>
      </c>
      <c r="F12" s="45">
        <f t="shared" si="0"/>
        <v>0.25</v>
      </c>
      <c r="G12" s="42">
        <f t="shared" si="1"/>
        <v>1.0833333333333333</v>
      </c>
      <c r="H12" s="63"/>
      <c r="I12" s="62"/>
      <c r="J12" s="62"/>
      <c r="K12" s="42"/>
      <c r="L12" s="42"/>
    </row>
    <row r="13" spans="1:51" x14ac:dyDescent="0.2">
      <c r="A13" s="62">
        <v>3</v>
      </c>
      <c r="B13" s="42">
        <v>1</v>
      </c>
      <c r="C13" s="44">
        <v>1</v>
      </c>
      <c r="D13" s="44">
        <v>1</v>
      </c>
      <c r="E13" s="44">
        <v>1</v>
      </c>
      <c r="F13" s="45">
        <f t="shared" si="0"/>
        <v>0</v>
      </c>
      <c r="G13" s="42">
        <f t="shared" si="1"/>
        <v>1</v>
      </c>
      <c r="H13" s="63" t="s">
        <v>167</v>
      </c>
      <c r="I13" s="62">
        <f>(F13+F14+F15+F16+F17)/5</f>
        <v>0.05</v>
      </c>
      <c r="J13" s="62">
        <f>(G13+G14+G15+G16+G17)/5</f>
        <v>1.0166666666666666</v>
      </c>
      <c r="K13" s="42"/>
      <c r="L13" s="42"/>
    </row>
    <row r="14" spans="1:51" x14ac:dyDescent="0.2">
      <c r="A14" s="62"/>
      <c r="B14" s="42">
        <v>2</v>
      </c>
      <c r="C14" s="44">
        <v>1</v>
      </c>
      <c r="D14" s="44">
        <v>1</v>
      </c>
      <c r="E14" s="44">
        <v>1</v>
      </c>
      <c r="F14" s="45">
        <f t="shared" si="0"/>
        <v>0</v>
      </c>
      <c r="G14" s="42">
        <f t="shared" si="1"/>
        <v>1</v>
      </c>
      <c r="H14" s="63"/>
      <c r="I14" s="62"/>
      <c r="J14" s="62"/>
      <c r="K14" s="42"/>
      <c r="L14" s="42"/>
    </row>
    <row r="15" spans="1:51" x14ac:dyDescent="0.2">
      <c r="A15" s="62"/>
      <c r="B15" s="42">
        <v>3</v>
      </c>
      <c r="C15" s="44">
        <v>1</v>
      </c>
      <c r="D15" s="44">
        <v>1</v>
      </c>
      <c r="E15" s="44">
        <v>1</v>
      </c>
      <c r="F15" s="45">
        <f t="shared" si="0"/>
        <v>0</v>
      </c>
      <c r="G15" s="42">
        <f t="shared" si="1"/>
        <v>1</v>
      </c>
      <c r="H15" s="63"/>
      <c r="I15" s="62"/>
      <c r="J15" s="62"/>
      <c r="K15" s="42"/>
      <c r="L15" s="42"/>
    </row>
    <row r="16" spans="1:51" x14ac:dyDescent="0.2">
      <c r="A16" s="62"/>
      <c r="B16" s="42">
        <v>4</v>
      </c>
      <c r="C16" s="44">
        <v>1</v>
      </c>
      <c r="D16" s="44">
        <v>1</v>
      </c>
      <c r="E16" s="44">
        <v>1</v>
      </c>
      <c r="F16" s="45">
        <f t="shared" si="0"/>
        <v>0</v>
      </c>
      <c r="G16" s="42">
        <f t="shared" si="1"/>
        <v>1</v>
      </c>
      <c r="H16" s="63"/>
      <c r="I16" s="62"/>
      <c r="J16" s="62"/>
      <c r="K16" s="42"/>
      <c r="L16" s="42"/>
    </row>
    <row r="17" spans="1:12" x14ac:dyDescent="0.2">
      <c r="A17" s="62"/>
      <c r="B17" s="42">
        <v>5</v>
      </c>
      <c r="C17" s="44">
        <v>1.25</v>
      </c>
      <c r="D17" s="44">
        <v>1</v>
      </c>
      <c r="E17" s="44">
        <v>1</v>
      </c>
      <c r="F17" s="45">
        <f t="shared" si="0"/>
        <v>0.25</v>
      </c>
      <c r="G17" s="42">
        <f t="shared" si="1"/>
        <v>1.0833333333333333</v>
      </c>
      <c r="H17" s="63"/>
      <c r="I17" s="62"/>
      <c r="J17" s="62"/>
      <c r="K17" s="42"/>
      <c r="L17" s="42"/>
    </row>
    <row r="25" spans="1:12" x14ac:dyDescent="0.2">
      <c r="A25" s="46" t="s">
        <v>169</v>
      </c>
      <c r="B25" s="42">
        <f>K3</f>
        <v>5.000000000000001E-2</v>
      </c>
    </row>
    <row r="26" spans="1:12" x14ac:dyDescent="0.2">
      <c r="A26" s="46" t="s">
        <v>171</v>
      </c>
      <c r="B26" s="42">
        <v>1.708</v>
      </c>
    </row>
    <row r="27" spans="1:12" x14ac:dyDescent="0.2">
      <c r="A27" s="46" t="s">
        <v>177</v>
      </c>
      <c r="B27" s="43">
        <f>1/B26</f>
        <v>0.58548009367681497</v>
      </c>
    </row>
    <row r="28" spans="1:12" x14ac:dyDescent="0.2">
      <c r="A28" s="46" t="s">
        <v>172</v>
      </c>
      <c r="B28" s="42">
        <f>B25*B27</f>
        <v>2.9274004683840754E-2</v>
      </c>
    </row>
    <row r="29" spans="1:12" x14ac:dyDescent="0.2">
      <c r="A29" s="42"/>
      <c r="B29" s="42"/>
    </row>
    <row r="30" spans="1:12" x14ac:dyDescent="0.2">
      <c r="A30" s="46" t="s">
        <v>173</v>
      </c>
      <c r="B30" s="42">
        <f>L3</f>
        <v>0</v>
      </c>
    </row>
    <row r="31" spans="1:12" x14ac:dyDescent="0.2">
      <c r="A31" s="46" t="s">
        <v>174</v>
      </c>
      <c r="B31" s="42">
        <v>5</v>
      </c>
    </row>
    <row r="32" spans="1:12" x14ac:dyDescent="0.2">
      <c r="A32" s="46" t="s">
        <v>175</v>
      </c>
      <c r="B32" s="42">
        <v>3</v>
      </c>
    </row>
    <row r="33" spans="1:4" x14ac:dyDescent="0.2">
      <c r="A33" s="46" t="s">
        <v>171</v>
      </c>
      <c r="B33" s="42">
        <v>2.3370000000000002</v>
      </c>
    </row>
    <row r="34" spans="1:4" x14ac:dyDescent="0.2">
      <c r="A34" s="46" t="s">
        <v>176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178</v>
      </c>
      <c r="B37" s="42">
        <f>SQRT((B30*B34)^2)-((B28)^2)/(B31*B32)</f>
        <v>-5.7131156681968695E-5</v>
      </c>
      <c r="C37" s="42"/>
      <c r="D37" s="42"/>
    </row>
    <row r="38" spans="1:4" x14ac:dyDescent="0.2">
      <c r="A38" s="46" t="s">
        <v>179</v>
      </c>
      <c r="B38" s="42">
        <f>SQRT((B28)^2)+(B37)^2</f>
        <v>2.9274007947809818E-2</v>
      </c>
      <c r="C38" s="42"/>
      <c r="D38" s="42"/>
    </row>
    <row r="39" spans="1:4" x14ac:dyDescent="0.2">
      <c r="A39" s="46" t="s">
        <v>186</v>
      </c>
      <c r="B39" s="47">
        <f>B38</f>
        <v>2.9274007947809818E-2</v>
      </c>
    </row>
    <row r="43" spans="1:4" x14ac:dyDescent="0.2">
      <c r="B43" s="43" t="s">
        <v>181</v>
      </c>
      <c r="C43" s="43" t="s">
        <v>183</v>
      </c>
    </row>
    <row r="44" spans="1:4" x14ac:dyDescent="0.2">
      <c r="B44" s="43" t="s">
        <v>180</v>
      </c>
      <c r="C44" s="43" t="s">
        <v>184</v>
      </c>
    </row>
    <row r="45" spans="1:4" x14ac:dyDescent="0.2">
      <c r="A45" s="46"/>
      <c r="B45" s="43" t="s">
        <v>182</v>
      </c>
      <c r="C45" s="43" t="s">
        <v>185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4"/>
    </row>
    <row r="49" spans="1:3" x14ac:dyDescent="0.2">
      <c r="A49" s="46"/>
      <c r="C49" s="64"/>
    </row>
    <row r="50" spans="1:3" x14ac:dyDescent="0.2">
      <c r="A50" s="46"/>
    </row>
    <row r="56" spans="1:3" x14ac:dyDescent="0.2">
      <c r="B56" s="47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6" t="s">
        <v>100</v>
      </c>
      <c r="F1" s="67"/>
      <c r="G1" s="67"/>
      <c r="H1" s="67"/>
      <c r="I1" s="67"/>
      <c r="J1" s="66" t="s">
        <v>101</v>
      </c>
      <c r="K1" s="67"/>
      <c r="L1" s="67"/>
      <c r="M1" s="67"/>
      <c r="N1" s="67"/>
      <c r="O1" s="66" t="s">
        <v>102</v>
      </c>
      <c r="P1" s="67"/>
      <c r="Q1" s="67"/>
      <c r="R1" s="67"/>
      <c r="S1" s="67"/>
      <c r="U1" s="66" t="s">
        <v>100</v>
      </c>
      <c r="V1" s="67"/>
      <c r="W1" s="67"/>
      <c r="X1" s="67"/>
      <c r="Y1" s="67"/>
      <c r="Z1" s="66" t="s">
        <v>101</v>
      </c>
      <c r="AA1" s="67"/>
      <c r="AB1" s="67"/>
      <c r="AC1" s="67"/>
      <c r="AD1" s="67"/>
      <c r="AE1" s="66" t="s">
        <v>102</v>
      </c>
      <c r="AF1" s="67"/>
      <c r="AG1" s="67"/>
      <c r="AH1" s="67"/>
      <c r="AI1" s="67"/>
    </row>
    <row r="2" spans="1:52" ht="28.5" customHeight="1" x14ac:dyDescent="0.2">
      <c r="A2" s="35" t="s">
        <v>106</v>
      </c>
      <c r="B2" s="35" t="s">
        <v>2</v>
      </c>
      <c r="C2" s="35" t="s">
        <v>107</v>
      </c>
      <c r="D2" s="5" t="s">
        <v>99</v>
      </c>
      <c r="E2" s="3" t="s">
        <v>108</v>
      </c>
      <c r="F2" s="3" t="s">
        <v>109</v>
      </c>
      <c r="G2" s="3" t="s">
        <v>110</v>
      </c>
      <c r="H2" s="3" t="s">
        <v>111</v>
      </c>
      <c r="I2" s="3" t="s">
        <v>112</v>
      </c>
      <c r="J2" s="3" t="s">
        <v>113</v>
      </c>
      <c r="K2" s="3" t="s">
        <v>114</v>
      </c>
      <c r="L2" s="3" t="s">
        <v>115</v>
      </c>
      <c r="M2" s="3" t="s">
        <v>116</v>
      </c>
      <c r="N2" s="3" t="s">
        <v>117</v>
      </c>
      <c r="O2" s="3" t="s">
        <v>118</v>
      </c>
      <c r="P2" s="3" t="s">
        <v>119</v>
      </c>
      <c r="Q2" s="3" t="s">
        <v>120</v>
      </c>
      <c r="R2" s="3" t="s">
        <v>121</v>
      </c>
      <c r="S2" s="3" t="s">
        <v>122</v>
      </c>
      <c r="T2" s="5" t="s">
        <v>103</v>
      </c>
      <c r="U2" s="5" t="s">
        <v>123</v>
      </c>
      <c r="V2" s="3" t="s">
        <v>124</v>
      </c>
      <c r="W2" s="3" t="s">
        <v>125</v>
      </c>
      <c r="X2" s="3" t="s">
        <v>126</v>
      </c>
      <c r="Y2" s="3" t="s">
        <v>127</v>
      </c>
      <c r="Z2" s="3" t="s">
        <v>128</v>
      </c>
      <c r="AA2" s="3" t="s">
        <v>129</v>
      </c>
      <c r="AB2" s="3" t="s">
        <v>130</v>
      </c>
      <c r="AC2" s="3" t="s">
        <v>131</v>
      </c>
      <c r="AD2" s="3" t="s">
        <v>132</v>
      </c>
      <c r="AE2" s="3" t="s">
        <v>133</v>
      </c>
      <c r="AF2" s="3" t="s">
        <v>137</v>
      </c>
      <c r="AG2" s="3" t="s">
        <v>136</v>
      </c>
      <c r="AH2" s="3" t="s">
        <v>135</v>
      </c>
      <c r="AI2" s="3" t="s">
        <v>134</v>
      </c>
      <c r="AJ2" s="5" t="s">
        <v>104</v>
      </c>
      <c r="AK2" s="3" t="s">
        <v>138</v>
      </c>
      <c r="AL2" s="5" t="s">
        <v>139</v>
      </c>
      <c r="AM2" s="3" t="s">
        <v>140</v>
      </c>
      <c r="AN2" s="3" t="s">
        <v>141</v>
      </c>
      <c r="AO2" s="3" t="s">
        <v>142</v>
      </c>
      <c r="AP2" s="3" t="s">
        <v>143</v>
      </c>
      <c r="AQ2" s="3" t="s">
        <v>144</v>
      </c>
      <c r="AR2" s="3" t="s">
        <v>145</v>
      </c>
      <c r="AS2" s="3" t="s">
        <v>146</v>
      </c>
      <c r="AT2" s="3" t="s">
        <v>147</v>
      </c>
      <c r="AU2" s="3" t="s">
        <v>148</v>
      </c>
      <c r="AV2" s="3" t="s">
        <v>149</v>
      </c>
      <c r="AW2" s="3" t="s">
        <v>150</v>
      </c>
      <c r="AX2" s="3" t="s">
        <v>151</v>
      </c>
      <c r="AY2" s="3" t="s">
        <v>152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2024-05-31T17:58:20Z</dcterms:modified>
  <cp:category/>
  <cp:contentStatus/>
</cp:coreProperties>
</file>