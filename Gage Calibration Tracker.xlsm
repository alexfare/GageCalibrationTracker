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ustomProperty1.bin" ContentType="application/vnd.openxmlformats-officedocument.spreadsheetml.customProperty"/>
  <Override PartName="/xl/drawings/drawing2.xml" ContentType="application/vnd.openxmlformats-officedocument.drawing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Alex-OneDrive\OneDrive\!Projects\Programs\Gage Calibration\"/>
    </mc:Choice>
  </mc:AlternateContent>
  <xr:revisionPtr revIDLastSave="0" documentId="13_ncr:1_{78ACBD55-F89E-4DB8-B9E8-BCB347DD7AC2}" xr6:coauthVersionLast="47" xr6:coauthVersionMax="47" xr10:uidLastSave="{00000000-0000-0000-0000-000000000000}"/>
  <bookViews>
    <workbookView showHorizontalScroll="0" showSheetTabs="0" xWindow="28680" yWindow="-120" windowWidth="29040" windowHeight="15840" tabRatio="541" activeTab="1" xr2:uid="{00000000-000D-0000-FFFF-FFFF00000000}"/>
  </bookViews>
  <sheets>
    <sheet name="Login" sheetId="26" r:id="rId1"/>
    <sheet name="CreatedByAlexFare" sheetId="13" r:id="rId2"/>
    <sheet name="Credentials" sheetId="27" r:id="rId3"/>
  </sheets>
  <definedNames>
    <definedName name="_xlnm._FilterDatabase" localSheetId="1" hidden="1">CreatedByAlexFare!$Z$2:$AK$251</definedName>
    <definedName name="inputPassword">Credentials!$B$2:$B$40</definedName>
    <definedName name="inputUsername">Credentials!$A$2:$A$40</definedName>
    <definedName name="Password">Credentials!$B$2:$B$40</definedName>
    <definedName name="_xlnm.Print_Area" localSheetId="1">CreatedByAlexFare!$A$2:$G$252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5" i="13" l="1"/>
  <c r="G51" i="13"/>
  <c r="G130" i="13"/>
  <c r="G131" i="13"/>
  <c r="G135" i="13"/>
  <c r="G136" i="13"/>
  <c r="G144" i="13"/>
  <c r="G145" i="13"/>
  <c r="G146" i="13"/>
  <c r="G147" i="13"/>
  <c r="G148" i="13"/>
  <c r="G163" i="13"/>
  <c r="G168" i="13"/>
  <c r="G170" i="13"/>
  <c r="G171" i="13"/>
  <c r="G172" i="13"/>
  <c r="G174" i="13"/>
  <c r="G175" i="13"/>
  <c r="G177" i="13"/>
  <c r="G178" i="13"/>
  <c r="G179" i="13"/>
  <c r="G180" i="13"/>
  <c r="G181" i="13"/>
  <c r="G182" i="13"/>
  <c r="G183" i="13"/>
  <c r="G184" i="13"/>
  <c r="G185" i="13"/>
  <c r="G186" i="13"/>
  <c r="G187" i="13"/>
  <c r="G188" i="13"/>
  <c r="G189" i="13"/>
  <c r="G191" i="13"/>
  <c r="G192" i="13"/>
  <c r="G193" i="13"/>
  <c r="G211" i="13"/>
  <c r="J1" i="13" l="1"/>
</calcChain>
</file>

<file path=xl/sharedStrings.xml><?xml version="1.0" encoding="utf-8"?>
<sst xmlns="http://schemas.openxmlformats.org/spreadsheetml/2006/main" count="3165" uniqueCount="890">
  <si>
    <t>Comments</t>
  </si>
  <si>
    <t>Initials</t>
  </si>
  <si>
    <t/>
  </si>
  <si>
    <t>Customer</t>
  </si>
  <si>
    <t>Due Date</t>
  </si>
  <si>
    <t>Department</t>
  </si>
  <si>
    <t>CF001</t>
  </si>
  <si>
    <t>Harley</t>
  </si>
  <si>
    <t>3102 CMM Holding Fixture</t>
  </si>
  <si>
    <t>Quality</t>
  </si>
  <si>
    <t>Press</t>
  </si>
  <si>
    <t>AF</t>
  </si>
  <si>
    <t>CF002</t>
  </si>
  <si>
    <t>3102 Doubler Fixture</t>
  </si>
  <si>
    <t>CF3102</t>
  </si>
  <si>
    <t>3102 Laser Fixture</t>
  </si>
  <si>
    <t>Laser</t>
  </si>
  <si>
    <t>CF004</t>
  </si>
  <si>
    <t>Tank Tunnel Width Check</t>
  </si>
  <si>
    <t>Polaris</t>
  </si>
  <si>
    <t>Inspection</t>
  </si>
  <si>
    <t>CF005</t>
  </si>
  <si>
    <t>1025508_03</t>
  </si>
  <si>
    <t>Pressure Test</t>
  </si>
  <si>
    <t>CF006</t>
  </si>
  <si>
    <t>Weld</t>
  </si>
  <si>
    <t>CF007</t>
  </si>
  <si>
    <t>EFI To Fuel Inlet</t>
  </si>
  <si>
    <t>Weld Cell</t>
  </si>
  <si>
    <t>CF009</t>
  </si>
  <si>
    <t>Poison Spyder</t>
  </si>
  <si>
    <t>Visual</t>
  </si>
  <si>
    <t>CF010</t>
  </si>
  <si>
    <t>1025508_06</t>
  </si>
  <si>
    <t>CF011</t>
  </si>
  <si>
    <t>5633355-156</t>
  </si>
  <si>
    <t>Console-Tank Non-Fair, CHR</t>
  </si>
  <si>
    <t>CF012</t>
  </si>
  <si>
    <t>5633649-156</t>
  </si>
  <si>
    <t>Console-Outer-No Gage, ZN CHR</t>
  </si>
  <si>
    <t>Border Sample Room</t>
  </si>
  <si>
    <t>CF013</t>
  </si>
  <si>
    <t>CF018</t>
  </si>
  <si>
    <t>1025508_01</t>
  </si>
  <si>
    <t>LH Shell Trim Check Fixture</t>
  </si>
  <si>
    <t>CF019</t>
  </si>
  <si>
    <t>1025508_02</t>
  </si>
  <si>
    <t>RH Shell Trim Check Fixture</t>
  </si>
  <si>
    <t>CF022</t>
  </si>
  <si>
    <t>Iron D Profile Check</t>
  </si>
  <si>
    <t>Reference Only</t>
  </si>
  <si>
    <t>Old part number stamped on fixture - 5257208</t>
  </si>
  <si>
    <t>CF023</t>
  </si>
  <si>
    <t>Low Profile Iron D Fender Bracket</t>
  </si>
  <si>
    <t>CF024</t>
  </si>
  <si>
    <t>5450465_BLNK</t>
  </si>
  <si>
    <t>Pin Gage</t>
  </si>
  <si>
    <t>Hole Size Check Gage</t>
  </si>
  <si>
    <t>CF025</t>
  </si>
  <si>
    <t>1025508_05</t>
  </si>
  <si>
    <t>EFI Stamping</t>
  </si>
  <si>
    <t>Hole Location Only</t>
  </si>
  <si>
    <t>CF027</t>
  </si>
  <si>
    <t>Tank Tunnel</t>
  </si>
  <si>
    <t>CF030</t>
  </si>
  <si>
    <t>3305 Cobra Rear Fender</t>
  </si>
  <si>
    <t>CF031</t>
  </si>
  <si>
    <t>1024381_01</t>
  </si>
  <si>
    <t>Skirtless Crown</t>
  </si>
  <si>
    <t>CF032</t>
  </si>
  <si>
    <t>90-18-06 Trail</t>
  </si>
  <si>
    <t>Poison Spyder Trail</t>
  </si>
  <si>
    <t>CF033</t>
  </si>
  <si>
    <t>1024387 / 1024388</t>
  </si>
  <si>
    <t>Iron D Side Skirt</t>
  </si>
  <si>
    <t>CF034</t>
  </si>
  <si>
    <t>CF035</t>
  </si>
  <si>
    <t>CF036</t>
  </si>
  <si>
    <t>CF038</t>
  </si>
  <si>
    <t>1025508_09_10 / 1019540/39_02</t>
  </si>
  <si>
    <t>Go Pin</t>
  </si>
  <si>
    <t>CF039</t>
  </si>
  <si>
    <t>1025508_07 / 1025429_06</t>
  </si>
  <si>
    <t>C Mount Laser Go/NoGo Pin</t>
  </si>
  <si>
    <t>CF043</t>
  </si>
  <si>
    <t>61300844 - Throttle Body Cover</t>
  </si>
  <si>
    <t>Stamp &amp; Laser Cut Buy Off</t>
  </si>
  <si>
    <t>Lincoln</t>
  </si>
  <si>
    <t>CF045</t>
  </si>
  <si>
    <t>35400387 Sledge Collector</t>
  </si>
  <si>
    <t>SHIELD EXH MID</t>
  </si>
  <si>
    <t>Laser / Press</t>
  </si>
  <si>
    <t>CF046</t>
  </si>
  <si>
    <t>LH Classic Speaker Grill</t>
  </si>
  <si>
    <t>CF047</t>
  </si>
  <si>
    <t>RH Classic Speaker Grill</t>
  </si>
  <si>
    <t>CF050</t>
  </si>
  <si>
    <t>CTR-1745</t>
  </si>
  <si>
    <t>Roof Panel Rib Cap</t>
  </si>
  <si>
    <t>AGCO / GSI Group</t>
  </si>
  <si>
    <t>Print is Rev01, We are producing Rev02</t>
  </si>
  <si>
    <t>CF052</t>
  </si>
  <si>
    <t>Raptor Console</t>
  </si>
  <si>
    <t>CF053</t>
  </si>
  <si>
    <t>Raptor Tank C Mount</t>
  </si>
  <si>
    <t>CF054</t>
  </si>
  <si>
    <t>Weld / Grind</t>
  </si>
  <si>
    <t>CF055</t>
  </si>
  <si>
    <t>Used Calipers CP017</t>
  </si>
  <si>
    <t>CF056</t>
  </si>
  <si>
    <t>CF057</t>
  </si>
  <si>
    <t>1025429_01</t>
  </si>
  <si>
    <t>Raptor Tank LH Shell</t>
  </si>
  <si>
    <t>CF058</t>
  </si>
  <si>
    <t>1025429_02</t>
  </si>
  <si>
    <t>Raptor Tank RH Shell</t>
  </si>
  <si>
    <t>CF059</t>
  </si>
  <si>
    <t>1025429_03</t>
  </si>
  <si>
    <t>Raptor Tank Tunnel</t>
  </si>
  <si>
    <t>CF061</t>
  </si>
  <si>
    <t>1025429_04</t>
  </si>
  <si>
    <t>Raptor Tank EFI Ring</t>
  </si>
  <si>
    <t>CF062</t>
  </si>
  <si>
    <t>Mustang Console</t>
  </si>
  <si>
    <t>CF063</t>
  </si>
  <si>
    <t>Mustang Front Fender</t>
  </si>
  <si>
    <t>CF064</t>
  </si>
  <si>
    <t>1025320_02_03</t>
  </si>
  <si>
    <t>Mustang Front Fender Bracket</t>
  </si>
  <si>
    <t>CF065</t>
  </si>
  <si>
    <t>Mustang Rear Fender</t>
  </si>
  <si>
    <t>CF067</t>
  </si>
  <si>
    <t>Challenger Wire Backet (Terminal Bracket)</t>
  </si>
  <si>
    <t>CF068</t>
  </si>
  <si>
    <t>Resistance Weld</t>
  </si>
  <si>
    <t>CF069</t>
  </si>
  <si>
    <t>Mustang Tank Spread Check - GO</t>
  </si>
  <si>
    <t>Caliper: 103.20 / 121.20</t>
  </si>
  <si>
    <t>CF070</t>
  </si>
  <si>
    <t>CF071</t>
  </si>
  <si>
    <t>Mustang Tank Spread Check - NoGo</t>
  </si>
  <si>
    <t>Caliper: 105.20 / 123.20</t>
  </si>
  <si>
    <t>CF072</t>
  </si>
  <si>
    <t>Caliper: 105.20 / 123.19</t>
  </si>
  <si>
    <t>CF073</t>
  </si>
  <si>
    <t>1026492_01</t>
  </si>
  <si>
    <t>Mustang Tank - LH Shell</t>
  </si>
  <si>
    <t>CF074</t>
  </si>
  <si>
    <t>1026492_02</t>
  </si>
  <si>
    <t>Mustang Tank - RH Shell</t>
  </si>
  <si>
    <t>CF075</t>
  </si>
  <si>
    <t>1026492_03</t>
  </si>
  <si>
    <t>Mustang Tank - Tunnel</t>
  </si>
  <si>
    <t>Gage Type</t>
  </si>
  <si>
    <t>Check Fixture</t>
  </si>
  <si>
    <t>MP004</t>
  </si>
  <si>
    <t>Iron D Crown</t>
  </si>
  <si>
    <t>Master Part</t>
  </si>
  <si>
    <t>Cut line reference only - Old Part Number 1019176_01</t>
  </si>
  <si>
    <t>MP007</t>
  </si>
  <si>
    <t>RH Tank Shell</t>
  </si>
  <si>
    <t>MP008</t>
  </si>
  <si>
    <t>LH MY21 Tank Shell</t>
  </si>
  <si>
    <t>MP009</t>
  </si>
  <si>
    <t>EFI Ring</t>
  </si>
  <si>
    <t>MP010</t>
  </si>
  <si>
    <t>MY21 Tunnel</t>
  </si>
  <si>
    <t>MP013</t>
  </si>
  <si>
    <t>RWD-10176</t>
  </si>
  <si>
    <t>08-11 DASH</t>
  </si>
  <si>
    <t>RWD</t>
  </si>
  <si>
    <t>Russ Wernimont, Cut line reference only</t>
  </si>
  <si>
    <t>MP014</t>
  </si>
  <si>
    <t>2202-0080</t>
  </si>
  <si>
    <t>KW PRE 08-DASH</t>
  </si>
  <si>
    <t>KW</t>
  </si>
  <si>
    <t>Klock Werks, Cut line reference only</t>
  </si>
  <si>
    <t>MP015</t>
  </si>
  <si>
    <t>T1486S</t>
  </si>
  <si>
    <t>180mm RWD Extension</t>
  </si>
  <si>
    <t>Russ Wernimont, Cut Line Reference Only</t>
  </si>
  <si>
    <t>MP029</t>
  </si>
  <si>
    <t>58900194_FNDR</t>
  </si>
  <si>
    <t>HD Crown</t>
  </si>
  <si>
    <t>12/03/2020</t>
  </si>
  <si>
    <t>MP031</t>
  </si>
  <si>
    <t>MP034</t>
  </si>
  <si>
    <t>RWD 08-11</t>
  </si>
  <si>
    <t>Dash Standard</t>
  </si>
  <si>
    <t>05/18/2021</t>
  </si>
  <si>
    <t>05/19/2023</t>
  </si>
  <si>
    <t>MP038</t>
  </si>
  <si>
    <t>Harley Doubler</t>
  </si>
  <si>
    <t>PPAP Approved Part</t>
  </si>
  <si>
    <t>MP039</t>
  </si>
  <si>
    <t>KW05-01-ONE-NO</t>
  </si>
  <si>
    <t>KlockWerks</t>
  </si>
  <si>
    <t>MP040</t>
  </si>
  <si>
    <t>MP042</t>
  </si>
  <si>
    <t>5261936BLNK</t>
  </si>
  <si>
    <t>LH Speaker Grill</t>
  </si>
  <si>
    <t>MP043</t>
  </si>
  <si>
    <t>5261937BLNK</t>
  </si>
  <si>
    <t>RH Speaker Grill</t>
  </si>
  <si>
    <t>MP046</t>
  </si>
  <si>
    <t xml:space="preserve">1401-0441 </t>
  </si>
  <si>
    <t>26" Benchmark</t>
  </si>
  <si>
    <t>MP048</t>
  </si>
  <si>
    <t>MP049</t>
  </si>
  <si>
    <t>MP052</t>
  </si>
  <si>
    <t>MP053</t>
  </si>
  <si>
    <t>MP054</t>
  </si>
  <si>
    <t>1025508_09</t>
  </si>
  <si>
    <t>MP055</t>
  </si>
  <si>
    <t>1025508_07</t>
  </si>
  <si>
    <t>MP056</t>
  </si>
  <si>
    <t>MP057</t>
  </si>
  <si>
    <t>EFI Clip Blank</t>
  </si>
  <si>
    <t>MP058</t>
  </si>
  <si>
    <t>Shell Notch Master Part</t>
  </si>
  <si>
    <t>MP060</t>
  </si>
  <si>
    <t>MP064</t>
  </si>
  <si>
    <t xml:space="preserve">Baffle Blank </t>
  </si>
  <si>
    <t>MP065</t>
  </si>
  <si>
    <t>MP073</t>
  </si>
  <si>
    <t>MP075</t>
  </si>
  <si>
    <t>MP076</t>
  </si>
  <si>
    <t>Tank Baffle</t>
  </si>
  <si>
    <t>MP077</t>
  </si>
  <si>
    <t>MP078</t>
  </si>
  <si>
    <t xml:space="preserve">Klock Werks </t>
  </si>
  <si>
    <t xml:space="preserve">Polaris </t>
  </si>
  <si>
    <t xml:space="preserve">Polairs </t>
  </si>
  <si>
    <t>1024381_02</t>
  </si>
  <si>
    <t>1025508_12</t>
  </si>
  <si>
    <t>1025508_01_02</t>
  </si>
  <si>
    <t>Old Part Number - 1021997_06</t>
  </si>
  <si>
    <t>1025429_05</t>
  </si>
  <si>
    <t>1019540/39_02</t>
  </si>
  <si>
    <t>Old Part Number - 1021997_11</t>
  </si>
  <si>
    <t>1025508_10</t>
  </si>
  <si>
    <t>Old Part Number - 1021997_04</t>
  </si>
  <si>
    <t>1025508_04</t>
  </si>
  <si>
    <t>LH Speaker E-Coat</t>
  </si>
  <si>
    <t>LH Speaker Powder Coat</t>
  </si>
  <si>
    <t>Jet Tube Clip</t>
  </si>
  <si>
    <t xml:space="preserve">Tank Brkt Console </t>
  </si>
  <si>
    <t>Tank Brkt-Console Rear</t>
  </si>
  <si>
    <t xml:space="preserve">MY21 Front C Mount </t>
  </si>
  <si>
    <t>Bracket Caliper Cover</t>
  </si>
  <si>
    <t>Laser Blank Bracket Master</t>
  </si>
  <si>
    <t xml:space="preserve">Crown Skirtless Stamping </t>
  </si>
  <si>
    <t>Cobra Rear Fender</t>
  </si>
  <si>
    <t>Trimmed Fender Bracket</t>
  </si>
  <si>
    <t>MP079</t>
  </si>
  <si>
    <t>MP080</t>
  </si>
  <si>
    <t>MP081</t>
  </si>
  <si>
    <t>MP082</t>
  </si>
  <si>
    <t>MP083</t>
  </si>
  <si>
    <t>MP084</t>
  </si>
  <si>
    <t>MP085</t>
  </si>
  <si>
    <t>MP089</t>
  </si>
  <si>
    <t>MP094</t>
  </si>
  <si>
    <t xml:space="preserve">Stamping Master Part </t>
  </si>
  <si>
    <t>MP095</t>
  </si>
  <si>
    <t xml:space="preserve">Laser Master Part </t>
  </si>
  <si>
    <t>MP096</t>
  </si>
  <si>
    <t>Weld Master Part</t>
  </si>
  <si>
    <t>MP097</t>
  </si>
  <si>
    <t>Weld Assy Master Part</t>
  </si>
  <si>
    <t>MP101</t>
  </si>
  <si>
    <t>LH Classic Spkr Grill OP#1</t>
  </si>
  <si>
    <t>MP102</t>
  </si>
  <si>
    <t>LH Classic Spkr Grill OP#2</t>
  </si>
  <si>
    <t>MP103</t>
  </si>
  <si>
    <t>LH Classic Spkr Grill OP#3</t>
  </si>
  <si>
    <t>MP104</t>
  </si>
  <si>
    <t>RH Classic Spkr Grill OP#1</t>
  </si>
  <si>
    <t>MP105</t>
  </si>
  <si>
    <t>RH Classic Spkr Grill OP#2</t>
  </si>
  <si>
    <t>MP106</t>
  </si>
  <si>
    <t>RH Classic Spkr Grill OP#3</t>
  </si>
  <si>
    <t>MP107</t>
  </si>
  <si>
    <t>LH Classic Spkr Grill</t>
  </si>
  <si>
    <t>MP108</t>
  </si>
  <si>
    <t>RH Classic Spkr Grill</t>
  </si>
  <si>
    <t>MP110</t>
  </si>
  <si>
    <t>Bad Lands Speaker Grill</t>
  </si>
  <si>
    <t>MP111</t>
  </si>
  <si>
    <t>New Iron D Doubler</t>
  </si>
  <si>
    <t>MP113</t>
  </si>
  <si>
    <t>LH Bad Lands Speaker Grill</t>
  </si>
  <si>
    <t>MP114</t>
  </si>
  <si>
    <t>RH Bad Lands Speaker Grill</t>
  </si>
  <si>
    <t>MP115</t>
  </si>
  <si>
    <t>Raptor Console Stamping</t>
  </si>
  <si>
    <t>MP116</t>
  </si>
  <si>
    <t>Classic Spkr Grill Blnk RH/LH</t>
  </si>
  <si>
    <t>MP117</t>
  </si>
  <si>
    <t>1025508_06 /1025429_05</t>
  </si>
  <si>
    <t xml:space="preserve">EFI CLIP </t>
  </si>
  <si>
    <t>MP118</t>
  </si>
  <si>
    <t>MP119</t>
  </si>
  <si>
    <t>Raptor Front Brkt C Mount BLNK</t>
  </si>
  <si>
    <t>MP121</t>
  </si>
  <si>
    <t>MP123</t>
  </si>
  <si>
    <t>RWD-50000</t>
  </si>
  <si>
    <t>Fender Extension</t>
  </si>
  <si>
    <t>MP124</t>
  </si>
  <si>
    <t>RWD-PV1</t>
  </si>
  <si>
    <t>Stamped Skid Plate</t>
  </si>
  <si>
    <t>MP126</t>
  </si>
  <si>
    <t>Apollo Heat Shield blank</t>
  </si>
  <si>
    <t>MP127</t>
  </si>
  <si>
    <t>MP130</t>
  </si>
  <si>
    <t>MP131</t>
  </si>
  <si>
    <t>MP132</t>
  </si>
  <si>
    <t>524055-021</t>
  </si>
  <si>
    <t>Crush Cap</t>
  </si>
  <si>
    <t>MP133</t>
  </si>
  <si>
    <t>MP134</t>
  </si>
  <si>
    <t>0504-0080-R</t>
  </si>
  <si>
    <t>Filler Smooth</t>
  </si>
  <si>
    <t>MP135</t>
  </si>
  <si>
    <t>2202-0112-R</t>
  </si>
  <si>
    <t>Curvaceous 08 Dash Long</t>
  </si>
  <si>
    <t>MP136</t>
  </si>
  <si>
    <t>2202-0111-R</t>
  </si>
  <si>
    <t>Curvaceous 08 Dash Short</t>
  </si>
  <si>
    <t>MP137</t>
  </si>
  <si>
    <t>RWD-030-DB Flat Blank Doubler</t>
  </si>
  <si>
    <t>30" Doubler</t>
  </si>
  <si>
    <t>MP139</t>
  </si>
  <si>
    <t>CTR-1745 Blank</t>
  </si>
  <si>
    <t>MP140</t>
  </si>
  <si>
    <t>CTR-1745 Stamping</t>
  </si>
  <si>
    <t>MP141</t>
  </si>
  <si>
    <t>MP147</t>
  </si>
  <si>
    <t>1025429_06</t>
  </si>
  <si>
    <t>Raptor C Mount Blank</t>
  </si>
  <si>
    <t>MP148</t>
  </si>
  <si>
    <t>MP149</t>
  </si>
  <si>
    <t>MP151</t>
  </si>
  <si>
    <t>Raptor EFI Ring 1st Form</t>
  </si>
  <si>
    <t>MP152</t>
  </si>
  <si>
    <t>Raptor EFI Ring 2nd Form</t>
  </si>
  <si>
    <t>MP153</t>
  </si>
  <si>
    <t>Raptor EFI Ring Pierce</t>
  </si>
  <si>
    <t>MP154</t>
  </si>
  <si>
    <t>Raptor LH</t>
  </si>
  <si>
    <t>MP155</t>
  </si>
  <si>
    <t>Raptor RH</t>
  </si>
  <si>
    <t>MP156</t>
  </si>
  <si>
    <t>Raptor Tunnel</t>
  </si>
  <si>
    <t>MP157</t>
  </si>
  <si>
    <t>1025429_01 &amp; 1025429_02</t>
  </si>
  <si>
    <t>Raptor Shell Notch Master Part</t>
  </si>
  <si>
    <t>MP158</t>
  </si>
  <si>
    <t>Raptor Tank Weld Master</t>
  </si>
  <si>
    <t>MP159</t>
  </si>
  <si>
    <t>1025429_09</t>
  </si>
  <si>
    <t>Raptor Tank Laser Baffle MP</t>
  </si>
  <si>
    <t>MP161</t>
  </si>
  <si>
    <t>Mustang Tank</t>
  </si>
  <si>
    <t>MP162</t>
  </si>
  <si>
    <t>1026492_05</t>
  </si>
  <si>
    <t>Mustang Tank EFI Ring</t>
  </si>
  <si>
    <t>MP163</t>
  </si>
  <si>
    <t>Mustang Console OP30</t>
  </si>
  <si>
    <t>MP164</t>
  </si>
  <si>
    <t>MP165</t>
  </si>
  <si>
    <t>Mustang Front Fender Brkts</t>
  </si>
  <si>
    <t>MP166</t>
  </si>
  <si>
    <t>MP167</t>
  </si>
  <si>
    <t>MP168</t>
  </si>
  <si>
    <t>1026492_07</t>
  </si>
  <si>
    <t>Mustang Tank Front C Mount</t>
  </si>
  <si>
    <t>MP169</t>
  </si>
  <si>
    <t>1026492_10</t>
  </si>
  <si>
    <t>Mustang BRKT-SEP</t>
  </si>
  <si>
    <t>MP172</t>
  </si>
  <si>
    <t>Mustang Front Fender BRKT</t>
  </si>
  <si>
    <t>MP175</t>
  </si>
  <si>
    <t>Mustang LH Shell</t>
  </si>
  <si>
    <t>MP177</t>
  </si>
  <si>
    <t>Mustang RH Shell</t>
  </si>
  <si>
    <t>MP179</t>
  </si>
  <si>
    <t>Mustang Console MP</t>
  </si>
  <si>
    <t>MP183</t>
  </si>
  <si>
    <t>A123</t>
  </si>
  <si>
    <t>The GSI Group</t>
  </si>
  <si>
    <t>Parts Room - Upstairs</t>
  </si>
  <si>
    <t xml:space="preserve">Quality </t>
  </si>
  <si>
    <t xml:space="preserve">Tank Baffle. Fully Formed </t>
  </si>
  <si>
    <t>Throttle Body Cover</t>
  </si>
  <si>
    <t>Throttle Body - PPAP Rear Laser Cut</t>
  </si>
  <si>
    <t>Throttle Body - PPAP Front Laser Cut</t>
  </si>
  <si>
    <t xml:space="preserve">Throttle Body - PPAP STAMPING </t>
  </si>
  <si>
    <t>65400387 Shield EXH MID</t>
  </si>
  <si>
    <t>Old Part Number - 1021997</t>
  </si>
  <si>
    <t>5455395-463</t>
  </si>
  <si>
    <t>5455396-463</t>
  </si>
  <si>
    <t>5266586/87</t>
  </si>
  <si>
    <t>5266586-463</t>
  </si>
  <si>
    <t>5266587-463</t>
  </si>
  <si>
    <t>5266759_01</t>
  </si>
  <si>
    <t>5455395/96</t>
  </si>
  <si>
    <t>Raptor EFI Ring Flat Blank</t>
  </si>
  <si>
    <t>Raptor C Mount 1st Form</t>
  </si>
  <si>
    <t>Raptor C Mount 2nd Form</t>
  </si>
  <si>
    <t>5268572 / 5270419</t>
  </si>
  <si>
    <t>5/25/2021</t>
  </si>
  <si>
    <t>05/26/2023</t>
  </si>
  <si>
    <t>Bad Stud, Exclude Studs From Master</t>
  </si>
  <si>
    <t>Excludes Weld Spatter / Dents</t>
  </si>
  <si>
    <t>Fit up only, Not Cosmetic</t>
  </si>
  <si>
    <t>CMM001</t>
  </si>
  <si>
    <t>Brown &amp; Sharpe</t>
  </si>
  <si>
    <t>BROWN &amp; SHARPE 7-10-7</t>
  </si>
  <si>
    <t>CMM</t>
  </si>
  <si>
    <t>Quality Lab</t>
  </si>
  <si>
    <t>Romer Arm</t>
  </si>
  <si>
    <t>Absolute 7 Axis 7525SI-2805-UC</t>
  </si>
  <si>
    <t>TW001</t>
  </si>
  <si>
    <t>Torque Wrench</t>
  </si>
  <si>
    <t>Envision</t>
  </si>
  <si>
    <t>PT001</t>
  </si>
  <si>
    <t>Pressure Test Gage</t>
  </si>
  <si>
    <t>Dial Gage</t>
  </si>
  <si>
    <t>Span</t>
  </si>
  <si>
    <t>BS001</t>
  </si>
  <si>
    <t>Iron D Fender</t>
  </si>
  <si>
    <t>Border Sample</t>
  </si>
  <si>
    <t>Border Room</t>
  </si>
  <si>
    <t>Unground Approval</t>
  </si>
  <si>
    <t>BS002</t>
  </si>
  <si>
    <t>HD Fender</t>
  </si>
  <si>
    <t>Re E-Coated Approval</t>
  </si>
  <si>
    <t>BS003</t>
  </si>
  <si>
    <t>Tool Lines Approved</t>
  </si>
  <si>
    <t>BS006</t>
  </si>
  <si>
    <t>1021997-329</t>
  </si>
  <si>
    <t>Indian Chief Tank</t>
  </si>
  <si>
    <t xml:space="preserve">Painted Cosmetic 7/30/2015  Made as revision 3, updated to Rev 5. No changes are applicable to border sample </t>
  </si>
  <si>
    <t>BS007</t>
  </si>
  <si>
    <t xml:space="preserve">E-Coated Cosmetic Made as revision 3, updated to Rev 5. No changes are applicable to border sample </t>
  </si>
  <si>
    <t>BS009</t>
  </si>
  <si>
    <t>1025320-329</t>
  </si>
  <si>
    <t>08/08/2022</t>
  </si>
  <si>
    <t>BS010</t>
  </si>
  <si>
    <t>1026492-329</t>
  </si>
  <si>
    <t>03/22/2021</t>
  </si>
  <si>
    <t>03/23/2023</t>
  </si>
  <si>
    <t>CF014</t>
  </si>
  <si>
    <t>M5 Ring Gage</t>
  </si>
  <si>
    <t>Ring Gage</t>
  </si>
  <si>
    <t>Jessica</t>
  </si>
  <si>
    <t>Used with: 1025508-329 / 1025429-329 / 1026492-329 and any other part with an M5x0.8 Thread</t>
  </si>
  <si>
    <t>CF015</t>
  </si>
  <si>
    <t>M6 Thread Gage</t>
  </si>
  <si>
    <t>CF016</t>
  </si>
  <si>
    <t>M8 Thread Gage</t>
  </si>
  <si>
    <t>Thread Gage</t>
  </si>
  <si>
    <t>CF040</t>
  </si>
  <si>
    <t>Came w/ certification</t>
  </si>
  <si>
    <t>CF041</t>
  </si>
  <si>
    <t>03/23/2021</t>
  </si>
  <si>
    <t>03/24/2023</t>
  </si>
  <si>
    <t>CF048</t>
  </si>
  <si>
    <t>07/18/2022</t>
  </si>
  <si>
    <t>CF049</t>
  </si>
  <si>
    <t>CF060</t>
  </si>
  <si>
    <t>M5 Thread Gage</t>
  </si>
  <si>
    <t>Shipping</t>
  </si>
  <si>
    <t>GP009</t>
  </si>
  <si>
    <t>4.334 No-Go</t>
  </si>
  <si>
    <t>Gage Pin</t>
  </si>
  <si>
    <t>GP010</t>
  </si>
  <si>
    <t>GP0011</t>
  </si>
  <si>
    <t>TG012</t>
  </si>
  <si>
    <t>TG016</t>
  </si>
  <si>
    <t>TG017</t>
  </si>
  <si>
    <t>M5.0x0.80 6H Go/NoGo</t>
  </si>
  <si>
    <t>GP018</t>
  </si>
  <si>
    <t>Go: 9.25mm / NoGo: 9.75mm</t>
  </si>
  <si>
    <t>02/15/2021</t>
  </si>
  <si>
    <t>02/16/2023</t>
  </si>
  <si>
    <t>Cobra Fender: 9.25mm to 9.75mm</t>
  </si>
  <si>
    <t>GP019</t>
  </si>
  <si>
    <t>Go: 8.00mm / NoGo: 8.40mm</t>
  </si>
  <si>
    <t>02/08/2021</t>
  </si>
  <si>
    <t>02/09/2023</t>
  </si>
  <si>
    <t>Mustang Tank - Front C Mount</t>
  </si>
  <si>
    <t>GP020</t>
  </si>
  <si>
    <t>Go: 0.2140</t>
  </si>
  <si>
    <t>03/08/2021</t>
  </si>
  <si>
    <t>03/09/2023</t>
  </si>
  <si>
    <t>GP021</t>
  </si>
  <si>
    <t>GP022</t>
  </si>
  <si>
    <t>Go: .1210 / NoGo: .1280</t>
  </si>
  <si>
    <t>Mustang Console Check Fixture - Job#4248</t>
  </si>
  <si>
    <t>TG023</t>
  </si>
  <si>
    <t>CUSTOM601</t>
  </si>
  <si>
    <t>M8 x 1.25 - 6H</t>
  </si>
  <si>
    <t>05/13/2021</t>
  </si>
  <si>
    <t>TG024</t>
  </si>
  <si>
    <t>TG025</t>
  </si>
  <si>
    <t>J251387</t>
  </si>
  <si>
    <t>5/16-18 UNC-2B</t>
  </si>
  <si>
    <t>05/24/2021</t>
  </si>
  <si>
    <t>Hem Cell</t>
  </si>
  <si>
    <t>G001</t>
  </si>
  <si>
    <t>Gage Blocks</t>
  </si>
  <si>
    <t>Keep In Quality Lab</t>
  </si>
  <si>
    <t>MC003</t>
  </si>
  <si>
    <t>MC003 - 0-1"</t>
  </si>
  <si>
    <t>MC005</t>
  </si>
  <si>
    <t>MC005 - 0-1"</t>
  </si>
  <si>
    <t>06/14/2022</t>
  </si>
  <si>
    <t>MC006</t>
  </si>
  <si>
    <t>MC006 - 0-1"</t>
  </si>
  <si>
    <t>Lyle</t>
  </si>
  <si>
    <t>MC007</t>
  </si>
  <si>
    <t>MC007 - 0-4" Depth Mic</t>
  </si>
  <si>
    <t>ENV-012</t>
  </si>
  <si>
    <t>ENV-012 - 0-1"</t>
  </si>
  <si>
    <t>CP002</t>
  </si>
  <si>
    <t>CP002 - 0-12"</t>
  </si>
  <si>
    <t>Caliper</t>
  </si>
  <si>
    <t>Luke</t>
  </si>
  <si>
    <t>CP004</t>
  </si>
  <si>
    <t>CP004 - 0-6"</t>
  </si>
  <si>
    <t>CP007</t>
  </si>
  <si>
    <t>CP007 - 0-8"</t>
  </si>
  <si>
    <t>CP011</t>
  </si>
  <si>
    <t>CP011 - 0-6"</t>
  </si>
  <si>
    <t>Dave</t>
  </si>
  <si>
    <t>CP12</t>
  </si>
  <si>
    <t>CP12 - 0-12"</t>
  </si>
  <si>
    <t>CP013</t>
  </si>
  <si>
    <t>CP013 - 0-6"</t>
  </si>
  <si>
    <t>CP014</t>
  </si>
  <si>
    <t>CP14 - 0-6"</t>
  </si>
  <si>
    <t>Jacob Litchfield</t>
  </si>
  <si>
    <t>CP016</t>
  </si>
  <si>
    <t>CP016 - 0-12"</t>
  </si>
  <si>
    <t>Scott Roerig</t>
  </si>
  <si>
    <t>CP017</t>
  </si>
  <si>
    <t>CP017 - 0-12"</t>
  </si>
  <si>
    <t>Alex Fare</t>
  </si>
  <si>
    <t>CP019</t>
  </si>
  <si>
    <t>CP019 - 0-6"</t>
  </si>
  <si>
    <t>Micrometer</t>
  </si>
  <si>
    <t>HG001</t>
  </si>
  <si>
    <t>Hieght Gage - Not in use</t>
  </si>
  <si>
    <t>Height Gage</t>
  </si>
  <si>
    <t>HG002</t>
  </si>
  <si>
    <t>TM003</t>
  </si>
  <si>
    <t>TM003 25'</t>
  </si>
  <si>
    <t>Quality Room</t>
  </si>
  <si>
    <t>TM007</t>
  </si>
  <si>
    <t>TM007 25'</t>
  </si>
  <si>
    <t>TM008</t>
  </si>
  <si>
    <t>TM008 16'</t>
  </si>
  <si>
    <t>Tape Measure</t>
  </si>
  <si>
    <t>TM009</t>
  </si>
  <si>
    <t>TM009 25'</t>
  </si>
  <si>
    <t>Part Number</t>
  </si>
  <si>
    <t>Gage ID</t>
  </si>
  <si>
    <t>GP023</t>
  </si>
  <si>
    <t>-</t>
  </si>
  <si>
    <t>RG001</t>
  </si>
  <si>
    <t>M5.0-.80 6g Go Gage</t>
  </si>
  <si>
    <t>06/29/2023</t>
  </si>
  <si>
    <t>BS011</t>
  </si>
  <si>
    <t>HD Border Sample</t>
  </si>
  <si>
    <t>07/07/2021</t>
  </si>
  <si>
    <t>07/07/2023</t>
  </si>
  <si>
    <t>CF076</t>
  </si>
  <si>
    <t>Radius Gage for HD</t>
  </si>
  <si>
    <t>Radius Gage</t>
  </si>
  <si>
    <t>MP184</t>
  </si>
  <si>
    <t>HD Doubler</t>
  </si>
  <si>
    <t>CF077</t>
  </si>
  <si>
    <t>Radius Gage Set</t>
  </si>
  <si>
    <t>05/15/2021</t>
  </si>
  <si>
    <t>05/15/2023</t>
  </si>
  <si>
    <t>Go: 8.75mm / NoGo: 9.25mm</t>
  </si>
  <si>
    <t>07/15/2021</t>
  </si>
  <si>
    <t>Mustang Rear Fender hole size gage for use in Press &amp; Inspection.</t>
  </si>
  <si>
    <t>07/15/2023</t>
  </si>
  <si>
    <t>08/03/2021</t>
  </si>
  <si>
    <t>08/03/2023</t>
  </si>
  <si>
    <t>LOST</t>
  </si>
  <si>
    <t>2/23/2021</t>
  </si>
  <si>
    <t>02/24/2023</t>
  </si>
  <si>
    <t>08/05/2022</t>
  </si>
  <si>
    <t>Calibrated By: Hexagon | Serial: 7525SI-2805-UC | 08/06: Calibration cycle changed, Calibrated by Hexagon every 2 years and on the off year Calibrated in house using (Romer Bar) for probe and (Cylinder) for the scanner.</t>
  </si>
  <si>
    <t>CMM003</t>
  </si>
  <si>
    <t>32378-2-6527</t>
  </si>
  <si>
    <t>Romer Length Bar</t>
  </si>
  <si>
    <t>Length Bar</t>
  </si>
  <si>
    <t>Length bar for calibrating Romer Arm.</t>
  </si>
  <si>
    <t>CMM004</t>
  </si>
  <si>
    <t>Romer Sphere</t>
  </si>
  <si>
    <t>Calibrating Sphere</t>
  </si>
  <si>
    <t>08/18/2023</t>
  </si>
  <si>
    <t>08/25/2021</t>
  </si>
  <si>
    <t>08/25/2023</t>
  </si>
  <si>
    <t>8/14/2021</t>
  </si>
  <si>
    <t>08/14/2023</t>
  </si>
  <si>
    <t>CF078</t>
  </si>
  <si>
    <t>Harley OE Doubler</t>
  </si>
  <si>
    <t>09/08/2021</t>
  </si>
  <si>
    <t>09/08/2023</t>
  </si>
  <si>
    <t>CMM002</t>
  </si>
  <si>
    <t>MP185</t>
  </si>
  <si>
    <t>Harley OE Crown</t>
  </si>
  <si>
    <t>CF079</t>
  </si>
  <si>
    <t>Lost</t>
  </si>
  <si>
    <t>Inactive</t>
  </si>
  <si>
    <t>5270419 / 5268572</t>
  </si>
  <si>
    <t>10/20/2021</t>
  </si>
  <si>
    <t>10/20/2023</t>
  </si>
  <si>
    <t>10/21/2023</t>
  </si>
  <si>
    <t>10/26/2021</t>
  </si>
  <si>
    <t>10/26/2023</t>
  </si>
  <si>
    <t>10/27/2021</t>
  </si>
  <si>
    <t>10/27/2023</t>
  </si>
  <si>
    <t>5/06/2021</t>
  </si>
  <si>
    <t>05/06/2023</t>
  </si>
  <si>
    <t>Calibrated by: MetroCal</t>
  </si>
  <si>
    <t>MetroCal</t>
  </si>
  <si>
    <t>11/05/2021</t>
  </si>
  <si>
    <t>11/05/2023</t>
  </si>
  <si>
    <t>11/09/2021</t>
  </si>
  <si>
    <t>11/09/2023</t>
  </si>
  <si>
    <t>11/12/2021</t>
  </si>
  <si>
    <t>11/12/2023</t>
  </si>
  <si>
    <t>12/07/2021</t>
  </si>
  <si>
    <t>12/07/2023</t>
  </si>
  <si>
    <t>12/8/2021</t>
  </si>
  <si>
    <t>12/08/2023</t>
  </si>
  <si>
    <t>Need</t>
  </si>
  <si>
    <t>Need Part - Scrap'd old one</t>
  </si>
  <si>
    <t>CP020</t>
  </si>
  <si>
    <t>CP020 - 0-6"</t>
  </si>
  <si>
    <t>01/06/2022</t>
  </si>
  <si>
    <t>01/06/2023</t>
  </si>
  <si>
    <t>Owned by Alex Fare</t>
  </si>
  <si>
    <t>01/11/2023</t>
  </si>
  <si>
    <t>New Indicator 01/11/22. Indicator Serial No. G00635</t>
  </si>
  <si>
    <t>02/07/2024</t>
  </si>
  <si>
    <t>02/07/2022</t>
  </si>
  <si>
    <t>02/07/2023</t>
  </si>
  <si>
    <t>Issues with measurements and moving keeps getting stuck. Removing from Calibration.Measures good with low numbers but .5inch measures off</t>
  </si>
  <si>
    <t>04/07/2022</t>
  </si>
  <si>
    <t>04/07/2024</t>
  </si>
  <si>
    <t>04/12/2022</t>
  </si>
  <si>
    <t>04/12/2023</t>
  </si>
  <si>
    <t>04/01/2022</t>
  </si>
  <si>
    <t>04/01/2023</t>
  </si>
  <si>
    <t>6/14/2022</t>
  </si>
  <si>
    <t>06/14/2024</t>
  </si>
  <si>
    <t>06/16/2022</t>
  </si>
  <si>
    <t>06/16/2024</t>
  </si>
  <si>
    <t>6/16/2022</t>
  </si>
  <si>
    <t>Not used much, Extending 2 years.</t>
  </si>
  <si>
    <t>06/16/2023</t>
  </si>
  <si>
    <t>06/17/2022</t>
  </si>
  <si>
    <t>06/17/2023</t>
  </si>
  <si>
    <t>Lost / 6-17-22</t>
  </si>
  <si>
    <t>Used MC002 - Measured 0.351</t>
  </si>
  <si>
    <t>06/21/2022</t>
  </si>
  <si>
    <t>06/21/2023</t>
  </si>
  <si>
    <t>CF080</t>
  </si>
  <si>
    <t>Plastic Spread Check</t>
  </si>
  <si>
    <t>Plastic Gage for checking E-Coated Front Fenders</t>
  </si>
  <si>
    <t>6/21/2022</t>
  </si>
  <si>
    <t>EFI GO/No-go Clip</t>
  </si>
  <si>
    <t>6/23/2022</t>
  </si>
  <si>
    <t>06/23/2024</t>
  </si>
  <si>
    <t>CF081</t>
  </si>
  <si>
    <t>06/27/2024</t>
  </si>
  <si>
    <t>Weld Robot OP2</t>
  </si>
  <si>
    <t>EFI Clip Gage</t>
  </si>
  <si>
    <t>07/1/2022</t>
  </si>
  <si>
    <t>07/01/2024</t>
  </si>
  <si>
    <t>Texed moved this into the polebarn.</t>
  </si>
  <si>
    <t>07/13/2022</t>
  </si>
  <si>
    <t>07/13/2024</t>
  </si>
  <si>
    <t>7/13/2022</t>
  </si>
  <si>
    <t>07/14/2022</t>
  </si>
  <si>
    <t>07/14/2024</t>
  </si>
  <si>
    <t>7/14/2022</t>
  </si>
  <si>
    <t>07/18/2024</t>
  </si>
  <si>
    <t>07/20/2022</t>
  </si>
  <si>
    <t>07/20/2024</t>
  </si>
  <si>
    <t>7/20/2022</t>
  </si>
  <si>
    <t>Master Part?</t>
  </si>
  <si>
    <t>07/25/2024</t>
  </si>
  <si>
    <t>7/25/2022</t>
  </si>
  <si>
    <t>7/26/2022</t>
  </si>
  <si>
    <t>07/26/2024</t>
  </si>
  <si>
    <t>07/26/2022</t>
  </si>
  <si>
    <t>Repainted 2022</t>
  </si>
  <si>
    <t>7/27/2022</t>
  </si>
  <si>
    <t>07/27/2024</t>
  </si>
  <si>
    <t>Re-Painted 2022</t>
  </si>
  <si>
    <t>MP186</t>
  </si>
  <si>
    <t>ACX3016850</t>
  </si>
  <si>
    <t>AGCO Ring Hinge</t>
  </si>
  <si>
    <t>AGCO</t>
  </si>
  <si>
    <t>07/28/2022</t>
  </si>
  <si>
    <t>07/28/2024</t>
  </si>
  <si>
    <t>MP187</t>
  </si>
  <si>
    <t>Harley Bracket Flat</t>
  </si>
  <si>
    <t>Thread Gage For Harley -</t>
  </si>
  <si>
    <t>Old Part Number - 1021997_13 *LOST*</t>
  </si>
  <si>
    <t>Indicator added to Gage. Serial # 212073377</t>
  </si>
  <si>
    <t>08/05/2023</t>
  </si>
  <si>
    <t>08/08/2024</t>
  </si>
  <si>
    <t>08/09/2022</t>
  </si>
  <si>
    <t>08/09/2024</t>
  </si>
  <si>
    <t>08/09/2023</t>
  </si>
  <si>
    <t>6074</t>
  </si>
  <si>
    <t>Old Part Number - 1021997_13</t>
  </si>
  <si>
    <t>1113471</t>
  </si>
  <si>
    <t>08/23/2023</t>
  </si>
  <si>
    <t>09/08/2022</t>
  </si>
  <si>
    <t>09/08/2024</t>
  </si>
  <si>
    <t>09/12/2024</t>
  </si>
  <si>
    <t>1024386</t>
  </si>
  <si>
    <t>09/23/2024</t>
  </si>
  <si>
    <t>Old Part Number - 1021997_01 and 1021997_02</t>
  </si>
  <si>
    <t>Set up part</t>
  </si>
  <si>
    <t>09/26/2022</t>
  </si>
  <si>
    <t>09/26/2024</t>
  </si>
  <si>
    <t>09/23/2022</t>
  </si>
  <si>
    <t>checks at .340 and .333  used MC003 used to be 1019176_02,_03</t>
  </si>
  <si>
    <t>checks at .302 and .294  used MC003 used to be 1019176_02,_03</t>
  </si>
  <si>
    <t>checks at .204 and .189  used MC003  used to be 1019176_02,_03</t>
  </si>
  <si>
    <t>checks at .157 and .142  used MC003 used to be 1019176_02,_03</t>
  </si>
  <si>
    <t>TG026</t>
  </si>
  <si>
    <t>Harley Fender</t>
  </si>
  <si>
    <t>10/03/2024</t>
  </si>
  <si>
    <t>10/3/2022</t>
  </si>
  <si>
    <t>LOST - 08/05/22</t>
  </si>
  <si>
    <t>TG027</t>
  </si>
  <si>
    <t>10/10/2024</t>
  </si>
  <si>
    <t>10/17/2022</t>
  </si>
  <si>
    <t>- Printed</t>
  </si>
  <si>
    <t>10/17/2024</t>
  </si>
  <si>
    <t>10/18/2024</t>
  </si>
  <si>
    <t>10/18/2022</t>
  </si>
  <si>
    <t>5261936</t>
  </si>
  <si>
    <t>10/28/2024</t>
  </si>
  <si>
    <t>10/28/2022</t>
  </si>
  <si>
    <t>MP188</t>
  </si>
  <si>
    <t>1027828_02_03</t>
  </si>
  <si>
    <t>Mustang Sport Fender</t>
  </si>
  <si>
    <t>11/04/2022</t>
  </si>
  <si>
    <t>11/04/2024</t>
  </si>
  <si>
    <t>MP189</t>
  </si>
  <si>
    <t>Painted Part From Polaris.</t>
  </si>
  <si>
    <t>MP190</t>
  </si>
  <si>
    <t>11/10/2024</t>
  </si>
  <si>
    <t>MP191</t>
  </si>
  <si>
    <t>1027828_03</t>
  </si>
  <si>
    <t>Mustang Sport Fender Bracket RH</t>
  </si>
  <si>
    <t>MP192</t>
  </si>
  <si>
    <t>1027828_02</t>
  </si>
  <si>
    <t>Mustang Sport Fender Bracket LH</t>
  </si>
  <si>
    <t>11/10/2022</t>
  </si>
  <si>
    <t>- Printed | Need Part</t>
  </si>
  <si>
    <t>Open Number</t>
  </si>
  <si>
    <t>Gage Calibration Tracker</t>
  </si>
  <si>
    <t>302114530</t>
  </si>
  <si>
    <t>aN1</t>
  </si>
  <si>
    <t>aA1</t>
  </si>
  <si>
    <t>aN2</t>
  </si>
  <si>
    <t>aA2</t>
  </si>
  <si>
    <t>aN3</t>
  </si>
  <si>
    <t>aA3</t>
  </si>
  <si>
    <t>aN4</t>
  </si>
  <si>
    <t>aA4</t>
  </si>
  <si>
    <t>aN5</t>
  </si>
  <si>
    <t>aA5</t>
  </si>
  <si>
    <t>Status</t>
  </si>
  <si>
    <t>Active</t>
  </si>
  <si>
    <t>131104110</t>
  </si>
  <si>
    <t>TW002</t>
  </si>
  <si>
    <t>01/11/2022</t>
  </si>
  <si>
    <t>TW004</t>
  </si>
  <si>
    <t>MP150</t>
  </si>
  <si>
    <t>Not needed for press. Removing.</t>
  </si>
  <si>
    <t>MP174</t>
  </si>
  <si>
    <t>Duplicate, Removing. See MP162</t>
  </si>
  <si>
    <t>TM005</t>
  </si>
  <si>
    <t>Grim took these when he left.</t>
  </si>
  <si>
    <t>MP170</t>
  </si>
  <si>
    <t>Terminal Bracket</t>
  </si>
  <si>
    <t>No longer a produced part.</t>
  </si>
  <si>
    <t>Ind#001</t>
  </si>
  <si>
    <t>Fowler IP65 Indicator 0-1"</t>
  </si>
  <si>
    <t>Indicator</t>
  </si>
  <si>
    <t>Fowler</t>
  </si>
  <si>
    <t>Damaged, Bottom left corner of screen.</t>
  </si>
  <si>
    <t>1025429</t>
  </si>
  <si>
    <t>12/01/2022</t>
  </si>
  <si>
    <t>12/01/2024</t>
  </si>
  <si>
    <t>1.00</t>
  </si>
  <si>
    <t>3.00</t>
  </si>
  <si>
    <t>4.00</t>
  </si>
  <si>
    <t>6.00</t>
  </si>
  <si>
    <t>10.00</t>
  </si>
  <si>
    <t>Part no longer produced.</t>
  </si>
  <si>
    <t>Pickups</t>
  </si>
  <si>
    <t>LH X</t>
  </si>
  <si>
    <t>108.8239</t>
  </si>
  <si>
    <t>LH Y</t>
  </si>
  <si>
    <t>15.6078</t>
  </si>
  <si>
    <t xml:space="preserve">RH X </t>
  </si>
  <si>
    <t>109.7014</t>
  </si>
  <si>
    <t>RH Y</t>
  </si>
  <si>
    <t>4.6768</t>
  </si>
  <si>
    <t>8/23/2022</t>
  </si>
  <si>
    <t>1.0</t>
  </si>
  <si>
    <t>3.0</t>
  </si>
  <si>
    <t>4.0</t>
  </si>
  <si>
    <t>6.0</t>
  </si>
  <si>
    <t>10.0</t>
  </si>
  <si>
    <t>2.0</t>
  </si>
  <si>
    <t>8.0</t>
  </si>
  <si>
    <t>12.0</t>
  </si>
  <si>
    <t>1/11/2022</t>
  </si>
  <si>
    <t>MP193</t>
  </si>
  <si>
    <t>58900526</t>
  </si>
  <si>
    <t>Harley OE Fender</t>
  </si>
  <si>
    <t>58900216</t>
  </si>
  <si>
    <t>3102 PPAP - Visual</t>
  </si>
  <si>
    <t>12/05/2022</t>
  </si>
  <si>
    <t>12/05/2024</t>
  </si>
  <si>
    <t>12/31/2020</t>
  </si>
  <si>
    <t>01/01/2023</t>
  </si>
  <si>
    <t>302117510</t>
  </si>
  <si>
    <t>Came w/ certification. (Arrived 10/22)</t>
  </si>
  <si>
    <t>302120510</t>
  </si>
  <si>
    <t>Came w/ certification. (Arrived on 03/21)</t>
  </si>
  <si>
    <t>GP024</t>
  </si>
  <si>
    <t>Cobra Fender</t>
  </si>
  <si>
    <t>9.25</t>
  </si>
  <si>
    <t>9.75</t>
  </si>
  <si>
    <t>GP025</t>
  </si>
  <si>
    <t>GO: 0.2140</t>
  </si>
  <si>
    <t>0.2140</t>
  </si>
  <si>
    <t>GP026</t>
  </si>
  <si>
    <t>Dated Added</t>
  </si>
  <si>
    <t>Came with cert._x000D_
|_x000D_
J000494622</t>
  </si>
  <si>
    <t>Came with cert._x000D_
|_x000D_
J000494438</t>
  </si>
  <si>
    <t>Last Edited</t>
  </si>
  <si>
    <t>Last Searched</t>
  </si>
  <si>
    <t>Inspect condition | Replace if needed.</t>
  </si>
  <si>
    <t>1025320</t>
  </si>
  <si>
    <t>Reference Only._x000D_
|_x000D_
- Printed</t>
  </si>
  <si>
    <t>Came with cert._x000D_
|_x000D_
J000494438.</t>
  </si>
  <si>
    <t>10/10/2022</t>
  </si>
  <si>
    <t>Open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</si>
  <si>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</si>
  <si>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</si>
  <si>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</si>
  <si>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</si>
  <si>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</si>
  <si>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</si>
  <si>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</si>
  <si>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</si>
  <si>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</si>
  <si>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</si>
  <si>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</si>
  <si>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</si>
  <si>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</si>
  <si>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</si>
  <si>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</si>
  <si>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Description</t>
  </si>
  <si>
    <t>Calibration Date</t>
  </si>
  <si>
    <t>Usernames</t>
  </si>
  <si>
    <t>Passwords</t>
  </si>
  <si>
    <t>v3.7.2</t>
  </si>
  <si>
    <t>Alex</t>
  </si>
  <si>
    <t>a12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</si>
</sst>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6" x14ac:knownFonts="1">
    <font>
      <sz val="10"/>
      <name val="Arial"/>
    </font>
    <font>
      <sz val="10"/>
      <name val="Arial"/>
      <family val="2"/>
    </font>
    <font>
      <b/>
      <sz val="36"/>
      <name val="Arial"/>
      <family val="2"/>
    </font>
    <font>
      <b/>
      <sz val="14"/>
      <color theme="1"/>
      <name val="Arial"/>
      <family val="2"/>
    </font>
    <font>
      <b/>
      <sz val="11"/>
      <color rgb="FF000000"/>
      <name val="Arial"/>
      <family val="2"/>
    </font>
    <font>
      <b/>
      <sz val="16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6">
    <xf numFmtId="0" fontId="0" fillId="0" borderId="0" xfId="0"/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vertical="top"/>
    </xf>
    <xf numFmtId="0" fontId="1" fillId="2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top"/>
    </xf>
    <xf numFmtId="0" fontId="0" fillId="3" borderId="0" xfId="0" applyFill="1"/>
    <xf numFmtId="14" fontId="0" fillId="0" borderId="1" xfId="0" applyNumberFormat="1" applyBorder="1" applyAlignment="1">
      <alignment horizontal="center" vertical="center"/>
    </xf>
    <xf numFmtId="14" fontId="1" fillId="0" borderId="1" xfId="0" applyNumberFormat="1" applyFont="1" applyBorder="1" applyAlignment="1">
      <alignment horizontal="center"/>
    </xf>
    <xf numFmtId="22" fontId="1" fillId="0" borderId="1" xfId="0" applyNumberFormat="1" applyFont="1" applyBorder="1" applyAlignment="1">
      <alignment horizontal="center"/>
    </xf>
    <xf numFmtId="0" fontId="1" fillId="3" borderId="0" xfId="0" applyFont="1" applyFill="1"/>
    <xf numFmtId="14" fontId="5" fillId="2" borderId="2" xfId="0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14" fontId="3" fillId="2" borderId="5" xfId="0" applyNumberFormat="1" applyFont="1" applyFill="1" applyBorder="1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14" fontId="3" fillId="2" borderId="1" xfId="0" applyNumberFormat="1" applyFont="1" applyFill="1" applyBorder="1" applyAlignment="1">
      <alignment horizontal="center" vertical="center" wrapText="1"/>
    </xf>
    <xf numFmtId="14" fontId="3" fillId="2" borderId="1" xfId="0" applyNumberFormat="1" applyFont="1" applyFill="1" applyBorder="1" applyAlignment="1">
      <alignment horizontal="center" vertical="center"/>
    </xf>
    <xf numFmtId="0" fontId="1" fillId="0" borderId="0" xfId="0" applyFont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14" fontId="0" fillId="0" borderId="6" xfId="0" applyNumberFormat="1" applyFill="1" applyBorder="1" applyAlignment="1">
      <alignment horizontal="center" vertical="center"/>
    </xf>
  </cellXfs>
  <cellStyles count="1">
    <cellStyle name="Normal" xfId="0" builtinId="0"/>
  </cellStyles>
  <dxfs count="33"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m/d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m/d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fill>
        <patternFill patternType="solid">
          <fgColor indexed="64"/>
          <bgColor theme="8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3" tint="0.39994506668294322"/>
      </font>
    </dxf>
  </dxfs>
  <tableStyles count="1" defaultTableStyle="TableStyleMedium2" defaultPivotStyle="PivotStyleLight16">
    <tableStyle name="Table Style 1" pivot="0" count="1" xr9:uid="{00000000-0011-0000-FFFF-FFFF00000000}">
      <tableStyleElement type="headerRow" dxfId="3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219075</xdr:colOff>
          <xdr:row>18</xdr:row>
          <xdr:rowOff>38100</xdr:rowOff>
        </xdr:from>
        <xdr:to>
          <xdr:col>12</xdr:col>
          <xdr:colOff>95250</xdr:colOff>
          <xdr:row>20</xdr:row>
          <xdr:rowOff>104775</xdr:rowOff>
        </xdr:to>
        <xdr:sp macro="" textlink="">
          <xdr:nvSpPr>
            <xdr:cNvPr id="462852" name="Button 4" hidden="1">
              <a:extLst>
                <a:ext uri="{63B3BB69-23CF-44E3-9099-C40C66FF867C}">
                  <a14:compatExt spid="_x0000_s462852"/>
                </a:ext>
                <a:ext uri="{FF2B5EF4-FFF2-40B4-BE49-F238E27FC236}">
                  <a16:creationId xmlns:a16="http://schemas.microsoft.com/office/drawing/2014/main" id="{00000000-0008-0000-0000-0000041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Login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266700</xdr:colOff>
          <xdr:row>18</xdr:row>
          <xdr:rowOff>38100</xdr:rowOff>
        </xdr:from>
        <xdr:to>
          <xdr:col>11</xdr:col>
          <xdr:colOff>142875</xdr:colOff>
          <xdr:row>20</xdr:row>
          <xdr:rowOff>104775</xdr:rowOff>
        </xdr:to>
        <xdr:sp macro="" textlink="">
          <xdr:nvSpPr>
            <xdr:cNvPr id="462853" name="Button 5" hidden="1">
              <a:extLst>
                <a:ext uri="{63B3BB69-23CF-44E3-9099-C40C66FF867C}">
                  <a14:compatExt spid="_x0000_s462853"/>
                </a:ext>
                <a:ext uri="{FF2B5EF4-FFF2-40B4-BE49-F238E27FC236}">
                  <a16:creationId xmlns:a16="http://schemas.microsoft.com/office/drawing/2014/main" id="{00000000-0008-0000-0000-0000051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47625</xdr:rowOff>
        </xdr:from>
        <xdr:to>
          <xdr:col>0</xdr:col>
          <xdr:colOff>600075</xdr:colOff>
          <xdr:row>0</xdr:row>
          <xdr:rowOff>552450</xdr:rowOff>
        </xdr:to>
        <xdr:sp macro="" textlink="">
          <xdr:nvSpPr>
            <xdr:cNvPr id="449822" name="Button 127262" hidden="1">
              <a:extLst>
                <a:ext uri="{63B3BB69-23CF-44E3-9099-C40C66FF867C}">
                  <a14:compatExt spid="_x0000_s449822"/>
                </a:ext>
                <a:ext uri="{FF2B5EF4-FFF2-40B4-BE49-F238E27FC236}">
                  <a16:creationId xmlns:a16="http://schemas.microsoft.com/office/drawing/2014/main" id="{00000000-0008-0000-0100-00001EDD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2:Z252" totalsRowShown="0" headerRowDxfId="29" headerRowBorderDxfId="28" tableBorderDxfId="27" totalsRowBorderDxfId="26" dataCellStyle="Normal">
  <autoFilter ref="A2:Z252" xr:uid="{00000000-000C-0000-FFFF-FFFF00000000}">
    <filterColumn colId="25">
      <filters>
        <filter val="Active"/>
      </filters>
    </filterColumn>
  </autoFilter>
  <tableColumns count="26">
    <tableColumn id="1" xr3:uid="{00000000-0010-0000-0000-000001000000}" name="Gage ID" dataDxfId="25" dataCellStyle="Normal"/>
    <tableColumn id="2" xr3:uid="{00000000-0010-0000-0000-000002000000}" name="Part Number" dataDxfId="24" dataCellStyle="Normal"/>
    <tableColumn id="3" xr3:uid="{00000000-0010-0000-0000-000003000000}" name="Description" dataDxfId="23" dataCellStyle="Normal"/>
    <tableColumn id="28" xr3:uid="{00000000-0010-0000-0000-00001C000000}" name="Gage Type" dataDxfId="22" dataCellStyle="Normal"/>
    <tableColumn id="4" xr3:uid="{00000000-0010-0000-0000-000004000000}" name="Customer" dataDxfId="21" dataCellStyle="Normal"/>
    <tableColumn id="6" xr3:uid="{00000000-0010-0000-0000-000006000000}" name="Calibration Date" dataDxfId="20" dataCellStyle="Normal"/>
    <tableColumn id="13" xr3:uid="{00000000-0010-0000-0000-00000D000000}" name="Due Date" dataDxfId="19" dataCellStyle="Normal"/>
    <tableColumn id="14" xr3:uid="{00000000-0010-0000-0000-00000E000000}" name="Initials" dataDxfId="18" dataCellStyle="Normal"/>
    <tableColumn id="15" xr3:uid="{00000000-0010-0000-0000-00000F000000}" name="Department" dataDxfId="17" dataCellStyle="Normal"/>
    <tableColumn id="18" xr3:uid="{00000000-0010-0000-0000-000012000000}" name="Comments" dataDxfId="16" dataCellStyle="Normal"/>
    <tableColumn id="5" xr3:uid="{0F3B4C93-D35C-4EFD-B400-D5D30B56A5EB}" name="Column1" dataDxfId="15" dataCellStyle="Normal"/>
    <tableColumn id="7" xr3:uid="{A11B9BF7-7DC4-4FD3-9478-638E60DC1AA8}" name="Column2" dataDxfId="14" dataCellStyle="Normal"/>
    <tableColumn id="8" xr3:uid="{26F829FB-B90C-491D-A3CA-2F936089F7FC}" name="Column3" dataDxfId="13" dataCellStyle="Normal"/>
    <tableColumn id="9" xr3:uid="{C493B276-266D-445A-95F0-05AE67E31DF8}" name="Column4" dataDxfId="12" dataCellStyle="Normal"/>
    <tableColumn id="10" xr3:uid="{3961D265-607E-4D63-9E30-12308999C28E}" name="Column5" dataDxfId="11" dataCellStyle="Normal"/>
    <tableColumn id="11" xr3:uid="{7DDC762E-1713-4459-B406-537227866BF9}" name="Column6" dataDxfId="10" dataCellStyle="Normal"/>
    <tableColumn id="12" xr3:uid="{1663616E-BFED-4012-BD03-1DAFE6DB4EAC}" name="Column7" dataDxfId="9" dataCellStyle="Normal"/>
    <tableColumn id="16" xr3:uid="{3C729E71-C890-44D5-A7EB-E1729AE9DC7C}" name="Column8" dataDxfId="8" dataCellStyle="Normal"/>
    <tableColumn id="17" xr3:uid="{B9F34C95-A8E5-45CC-A330-F0D9C5BD9F56}" name="Column9" dataDxfId="7" dataCellStyle="Normal"/>
    <tableColumn id="19" xr3:uid="{87E78562-5173-4D8F-BF6E-8E05C4254F05}" name="Column10" dataDxfId="6" dataCellStyle="Normal"/>
    <tableColumn id="20" xr3:uid="{4009E320-37FA-4FA8-920E-62CD8239BFB1}" name="Column11" dataDxfId="5" dataCellStyle="Normal"/>
    <tableColumn id="21" xr3:uid="{21709794-CD08-4547-8296-10AD01B59911}" name="Column12" dataDxfId="4" dataCellStyle="Normal"/>
    <tableColumn id="22" xr3:uid="{F39C032E-7585-4A3E-A1C0-245EDE78FD3D}" name="Column13" dataDxfId="3" dataCellStyle="Normal"/>
    <tableColumn id="23" xr3:uid="{BD015AF3-24F7-4360-AE1C-B3EBC8EF271E}" name="Column14" dataDxfId="2" dataCellStyle="Normal"/>
    <tableColumn id="24" xr3:uid="{174F2E2E-532C-4F73-BC1B-A6BD4562C391}" name="Column15" dataDxfId="1" dataCellStyle="Normal"/>
    <tableColumn id="25" xr3:uid="{3D3740C6-205E-4C3B-8B92-2CF8D7276751}" name="Status" dataDxfId="0" dataCellStyle="Normal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J23"/>
  <sheetViews>
    <sheetView zoomScale="115" zoomScaleNormal="115" workbookViewId="0">
      <selection activeCell="K23" sqref="K23"/>
    </sheetView>
  </sheetViews>
  <sheetFormatPr defaultRowHeight="12.75" x14ac:dyDescent="0.2"/>
  <cols>
    <col min="1" max="16384" width="9.140625" style="6"/>
  </cols>
  <sheetData>
    <row r="23" spans="10:10" x14ac:dyDescent="0.2">
      <c r="J23" s="10"/>
    </row>
  </sheetData>
  <pageMargins left="0.2" right="0.2" top="0.2" bottom="0.2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2852" r:id="rId4" name="Button 4">
              <controlPr defaultSize="0" print="0" autoFill="0" autoPict="0" macro="[0]!Sheet3.Button_Click">
                <anchor moveWithCells="1" sizeWithCells="1">
                  <from>
                    <xdr:col>11</xdr:col>
                    <xdr:colOff>219075</xdr:colOff>
                    <xdr:row>18</xdr:row>
                    <xdr:rowOff>38100</xdr:rowOff>
                  </from>
                  <to>
                    <xdr:col>12</xdr:col>
                    <xdr:colOff>95250</xdr:colOff>
                    <xdr:row>20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853" r:id="rId5" name="Button 5">
              <controlPr defaultSize="0" print="0" autoFill="0" autoPict="0" macro="[0]!Sheet3.BackBtn_Click">
                <anchor moveWithCells="1" sizeWithCells="1">
                  <from>
                    <xdr:col>10</xdr:col>
                    <xdr:colOff>266700</xdr:colOff>
                    <xdr:row>18</xdr:row>
                    <xdr:rowOff>38100</xdr:rowOff>
                  </from>
                  <to>
                    <xdr:col>11</xdr:col>
                    <xdr:colOff>142875</xdr:colOff>
                    <xdr:row>20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N375"/>
  <sheetViews>
    <sheetView showGridLines="0" tabSelected="1" zoomScale="115" zoomScaleNormal="115" zoomScaleSheetLayoutView="69" workbookViewId="0">
      <pane ySplit="2" topLeftCell="A239" activePane="bottomLeft" state="frozen"/>
      <selection pane="bottomLeft" activeCell="B274" sqref="B274"/>
    </sheetView>
  </sheetViews>
  <sheetFormatPr defaultColWidth="14.5703125" defaultRowHeight="16.350000000000001" customHeight="1" x14ac:dyDescent="0.2"/>
  <cols>
    <col min="1" max="1" width="13" style="4" customWidth="1"/>
    <col min="2" max="2" width="31.85546875" style="4" customWidth="1"/>
    <col min="3" max="3" width="41.28515625" style="4" customWidth="1"/>
    <col min="4" max="4" width="19.85546875" style="4" customWidth="1"/>
    <col min="5" max="5" width="18.28515625" style="4" customWidth="1"/>
    <col min="6" max="7" width="14.28515625" style="17" customWidth="1"/>
    <col min="8" max="8" width="12.5703125" style="4" customWidth="1"/>
    <col min="9" max="9" width="19.140625" style="4" customWidth="1"/>
    <col min="10" max="10" width="24" style="18" customWidth="1"/>
    <col min="11" max="11" width="42.42578125" style="14" hidden="1" customWidth="1"/>
    <col min="12" max="25" width="14.5703125" style="4" hidden="1" customWidth="1"/>
    <col min="26" max="26" width="14.5703125" style="4" customWidth="1"/>
    <col min="27" max="39" width="14.5703125" style="1" hidden="1" customWidth="1"/>
    <col min="40" max="40" width="41.5703125" style="3" customWidth="1"/>
    <col min="41" max="16384" width="14.5703125" style="1"/>
  </cols>
  <sheetData>
    <row r="1" spans="1:40" ht="48" customHeight="1" x14ac:dyDescent="0.2">
      <c r="A1" s="22" t="s">
        <v>776</v>
      </c>
      <c r="B1" s="23"/>
      <c r="C1" s="23"/>
      <c r="D1" s="23"/>
      <c r="E1" s="23"/>
      <c r="F1" s="23"/>
      <c r="G1" s="23"/>
      <c r="H1" s="23"/>
      <c r="I1" s="23"/>
      <c r="J1" s="11">
        <f ca="1">TODAY()</f>
        <v>44907</v>
      </c>
      <c r="Z1" s="14" t="s">
        <v>887</v>
      </c>
    </row>
    <row r="2" spans="1:40" s="2" customFormat="1" ht="54" customHeight="1" x14ac:dyDescent="0.2">
      <c r="A2" s="13" t="s">
        <v>568</v>
      </c>
      <c r="B2" s="13" t="s">
        <v>567</v>
      </c>
      <c r="C2" s="13" t="s">
        <v>883</v>
      </c>
      <c r="D2" s="13" t="s">
        <v>153</v>
      </c>
      <c r="E2" s="13" t="s">
        <v>3</v>
      </c>
      <c r="F2" s="19" t="s">
        <v>884</v>
      </c>
      <c r="G2" s="20" t="s">
        <v>4</v>
      </c>
      <c r="H2" s="13" t="s">
        <v>1</v>
      </c>
      <c r="I2" s="13" t="s">
        <v>5</v>
      </c>
      <c r="J2" s="13" t="s">
        <v>0</v>
      </c>
      <c r="K2" s="15" t="s">
        <v>868</v>
      </c>
      <c r="L2" s="16" t="s">
        <v>869</v>
      </c>
      <c r="M2" s="15" t="s">
        <v>870</v>
      </c>
      <c r="N2" s="15" t="s">
        <v>871</v>
      </c>
      <c r="O2" s="15" t="s">
        <v>872</v>
      </c>
      <c r="P2" s="15" t="s">
        <v>873</v>
      </c>
      <c r="Q2" s="15" t="s">
        <v>874</v>
      </c>
      <c r="R2" s="15" t="s">
        <v>875</v>
      </c>
      <c r="S2" s="15" t="s">
        <v>876</v>
      </c>
      <c r="T2" s="15" t="s">
        <v>877</v>
      </c>
      <c r="U2" s="15" t="s">
        <v>878</v>
      </c>
      <c r="V2" s="15" t="s">
        <v>879</v>
      </c>
      <c r="W2" s="15" t="s">
        <v>880</v>
      </c>
      <c r="X2" s="15" t="s">
        <v>881</v>
      </c>
      <c r="Y2" s="15" t="s">
        <v>882</v>
      </c>
      <c r="Z2" s="15" t="s">
        <v>788</v>
      </c>
      <c r="AA2" s="2" t="s">
        <v>778</v>
      </c>
      <c r="AB2" s="2" t="s">
        <v>779</v>
      </c>
      <c r="AC2" s="2" t="s">
        <v>780</v>
      </c>
      <c r="AD2" s="2" t="s">
        <v>781</v>
      </c>
      <c r="AE2" s="2" t="s">
        <v>782</v>
      </c>
      <c r="AF2" s="2" t="s">
        <v>783</v>
      </c>
      <c r="AG2" s="2" t="s">
        <v>784</v>
      </c>
      <c r="AH2" s="2" t="s">
        <v>785</v>
      </c>
      <c r="AI2" s="2" t="s">
        <v>786</v>
      </c>
      <c r="AJ2" s="2" t="s">
        <v>787</v>
      </c>
      <c r="AK2" s="2" t="s">
        <v>857</v>
      </c>
      <c r="AL2" s="2" t="s">
        <v>860</v>
      </c>
      <c r="AM2" s="2" t="s">
        <v>861</v>
      </c>
      <c r="AN2" s="5"/>
    </row>
    <row r="3" spans="1:40" ht="16.350000000000001" customHeight="1" x14ac:dyDescent="0.2">
      <c r="A3" s="12" t="s">
        <v>435</v>
      </c>
      <c r="B3" s="12">
        <v>58900196</v>
      </c>
      <c r="C3" s="12" t="s">
        <v>436</v>
      </c>
      <c r="D3" s="12" t="s">
        <v>432</v>
      </c>
      <c r="E3" s="12" t="s">
        <v>7</v>
      </c>
      <c r="F3" s="7" t="s">
        <v>736</v>
      </c>
      <c r="G3" s="7" t="s">
        <v>737</v>
      </c>
      <c r="H3" s="12" t="s">
        <v>11</v>
      </c>
      <c r="I3" s="12" t="s">
        <v>433</v>
      </c>
      <c r="J3" s="12" t="s">
        <v>437</v>
      </c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2" t="s">
        <v>789</v>
      </c>
      <c r="AA3" s="1" t="s">
        <v>2</v>
      </c>
      <c r="AB3" s="1" t="s">
        <v>2</v>
      </c>
      <c r="AC3" s="1" t="s">
        <v>2</v>
      </c>
      <c r="AD3" s="1" t="s">
        <v>2</v>
      </c>
      <c r="AE3" s="1" t="s">
        <v>2</v>
      </c>
      <c r="AF3" s="1" t="s">
        <v>2</v>
      </c>
      <c r="AG3" s="1" t="s">
        <v>2</v>
      </c>
      <c r="AH3" s="1" t="s">
        <v>2</v>
      </c>
      <c r="AI3" s="1" t="s">
        <v>2</v>
      </c>
      <c r="AJ3" s="1" t="s">
        <v>2</v>
      </c>
      <c r="AK3" s="1" t="s">
        <v>736</v>
      </c>
    </row>
    <row r="4" spans="1:40" ht="16.350000000000001" customHeight="1" x14ac:dyDescent="0.2">
      <c r="A4" s="12" t="s">
        <v>438</v>
      </c>
      <c r="B4" s="12">
        <v>58900196</v>
      </c>
      <c r="C4" s="12" t="s">
        <v>436</v>
      </c>
      <c r="D4" s="12" t="s">
        <v>432</v>
      </c>
      <c r="E4" s="12" t="s">
        <v>7</v>
      </c>
      <c r="F4" s="7" t="s">
        <v>736</v>
      </c>
      <c r="G4" s="7" t="s">
        <v>737</v>
      </c>
      <c r="H4" s="12" t="s">
        <v>11</v>
      </c>
      <c r="I4" s="12" t="s">
        <v>433</v>
      </c>
      <c r="J4" s="12" t="s">
        <v>439</v>
      </c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  <c r="Y4" s="12"/>
      <c r="Z4" s="12" t="s">
        <v>789</v>
      </c>
      <c r="AA4" s="1" t="s">
        <v>2</v>
      </c>
      <c r="AB4" s="1" t="s">
        <v>2</v>
      </c>
      <c r="AC4" s="1" t="s">
        <v>2</v>
      </c>
      <c r="AD4" s="1" t="s">
        <v>2</v>
      </c>
      <c r="AE4" s="1" t="s">
        <v>2</v>
      </c>
      <c r="AF4" s="1" t="s">
        <v>2</v>
      </c>
      <c r="AG4" s="1" t="s">
        <v>2</v>
      </c>
      <c r="AH4" s="1" t="s">
        <v>2</v>
      </c>
      <c r="AI4" s="1" t="s">
        <v>2</v>
      </c>
      <c r="AJ4" s="1" t="s">
        <v>2</v>
      </c>
      <c r="AK4" s="1" t="s">
        <v>736</v>
      </c>
    </row>
    <row r="5" spans="1:40" ht="16.350000000000001" customHeight="1" x14ac:dyDescent="0.2">
      <c r="A5" s="12" t="s">
        <v>440</v>
      </c>
      <c r="B5" s="12" t="s">
        <v>441</v>
      </c>
      <c r="C5" s="12" t="s">
        <v>442</v>
      </c>
      <c r="D5" s="12" t="s">
        <v>432</v>
      </c>
      <c r="E5" s="12" t="s">
        <v>19</v>
      </c>
      <c r="F5" s="7" t="s">
        <v>696</v>
      </c>
      <c r="G5" s="7" t="s">
        <v>697</v>
      </c>
      <c r="H5" s="12" t="s">
        <v>11</v>
      </c>
      <c r="I5" s="12" t="s">
        <v>433</v>
      </c>
      <c r="J5" s="12" t="s">
        <v>443</v>
      </c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 t="s">
        <v>789</v>
      </c>
      <c r="AA5" s="1" t="s">
        <v>2</v>
      </c>
      <c r="AB5" s="1" t="s">
        <v>2</v>
      </c>
      <c r="AC5" s="1" t="s">
        <v>2</v>
      </c>
      <c r="AD5" s="1" t="s">
        <v>2</v>
      </c>
      <c r="AE5" s="1" t="s">
        <v>2</v>
      </c>
      <c r="AF5" s="1" t="s">
        <v>2</v>
      </c>
      <c r="AG5" s="1" t="s">
        <v>2</v>
      </c>
      <c r="AH5" s="1" t="s">
        <v>2</v>
      </c>
      <c r="AI5" s="1" t="s">
        <v>2</v>
      </c>
      <c r="AJ5" s="1" t="s">
        <v>2</v>
      </c>
      <c r="AK5" s="1" t="s">
        <v>696</v>
      </c>
    </row>
    <row r="6" spans="1:40" ht="16.350000000000001" customHeight="1" x14ac:dyDescent="0.2">
      <c r="A6" s="12" t="s">
        <v>444</v>
      </c>
      <c r="B6" s="12" t="s">
        <v>441</v>
      </c>
      <c r="C6" s="12" t="s">
        <v>442</v>
      </c>
      <c r="D6" s="12" t="s">
        <v>432</v>
      </c>
      <c r="E6" s="12" t="s">
        <v>19</v>
      </c>
      <c r="F6" s="7" t="s">
        <v>696</v>
      </c>
      <c r="G6" s="7" t="s">
        <v>697</v>
      </c>
      <c r="H6" s="12" t="s">
        <v>11</v>
      </c>
      <c r="I6" s="12" t="s">
        <v>433</v>
      </c>
      <c r="J6" s="12" t="s">
        <v>445</v>
      </c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 t="s">
        <v>789</v>
      </c>
      <c r="AA6" s="1" t="s">
        <v>2</v>
      </c>
      <c r="AB6" s="1" t="s">
        <v>2</v>
      </c>
      <c r="AC6" s="1" t="s">
        <v>2</v>
      </c>
      <c r="AD6" s="1" t="s">
        <v>2</v>
      </c>
      <c r="AE6" s="1" t="s">
        <v>2</v>
      </c>
      <c r="AF6" s="1" t="s">
        <v>2</v>
      </c>
      <c r="AG6" s="1" t="s">
        <v>2</v>
      </c>
      <c r="AH6" s="1" t="s">
        <v>2</v>
      </c>
      <c r="AI6" s="1" t="s">
        <v>2</v>
      </c>
      <c r="AJ6" s="1" t="s">
        <v>2</v>
      </c>
      <c r="AK6" s="1" t="s">
        <v>696</v>
      </c>
    </row>
    <row r="7" spans="1:40" ht="16.350000000000001" customHeight="1" x14ac:dyDescent="0.2">
      <c r="A7" s="12" t="s">
        <v>446</v>
      </c>
      <c r="B7" s="12" t="s">
        <v>447</v>
      </c>
      <c r="C7" s="12" t="s">
        <v>125</v>
      </c>
      <c r="D7" s="12" t="s">
        <v>432</v>
      </c>
      <c r="E7" s="12" t="s">
        <v>19</v>
      </c>
      <c r="F7" s="7" t="s">
        <v>448</v>
      </c>
      <c r="G7" s="7" t="s">
        <v>721</v>
      </c>
      <c r="H7" s="12" t="s">
        <v>11</v>
      </c>
      <c r="I7" s="12" t="s">
        <v>433</v>
      </c>
      <c r="J7" s="12" t="s">
        <v>50</v>
      </c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 t="s">
        <v>789</v>
      </c>
      <c r="AA7" s="1" t="s">
        <v>2</v>
      </c>
      <c r="AB7" s="1" t="s">
        <v>2</v>
      </c>
      <c r="AC7" s="1" t="s">
        <v>2</v>
      </c>
      <c r="AD7" s="1" t="s">
        <v>2</v>
      </c>
      <c r="AE7" s="1" t="s">
        <v>2</v>
      </c>
      <c r="AF7" s="1" t="s">
        <v>2</v>
      </c>
      <c r="AG7" s="1" t="s">
        <v>2</v>
      </c>
      <c r="AH7" s="1" t="s">
        <v>2</v>
      </c>
      <c r="AI7" s="1" t="s">
        <v>2</v>
      </c>
      <c r="AJ7" s="1" t="s">
        <v>2</v>
      </c>
      <c r="AK7" s="1" t="s">
        <v>448</v>
      </c>
    </row>
    <row r="8" spans="1:40" ht="16.350000000000001" customHeight="1" x14ac:dyDescent="0.2">
      <c r="A8" s="12" t="s">
        <v>449</v>
      </c>
      <c r="B8" s="12" t="s">
        <v>450</v>
      </c>
      <c r="C8" s="12" t="s">
        <v>363</v>
      </c>
      <c r="D8" s="12" t="s">
        <v>432</v>
      </c>
      <c r="E8" s="12" t="s">
        <v>19</v>
      </c>
      <c r="F8" s="7" t="s">
        <v>451</v>
      </c>
      <c r="G8" s="7" t="s">
        <v>452</v>
      </c>
      <c r="H8" s="12" t="s">
        <v>11</v>
      </c>
      <c r="I8" s="12" t="s">
        <v>433</v>
      </c>
      <c r="J8" s="12" t="s">
        <v>764</v>
      </c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 t="s">
        <v>789</v>
      </c>
      <c r="AA8" s="1" t="s">
        <v>2</v>
      </c>
      <c r="AB8" s="1" t="s">
        <v>2</v>
      </c>
      <c r="AC8" s="1" t="s">
        <v>2</v>
      </c>
      <c r="AD8" s="1" t="s">
        <v>2</v>
      </c>
      <c r="AE8" s="1" t="s">
        <v>2</v>
      </c>
      <c r="AF8" s="1" t="s">
        <v>2</v>
      </c>
      <c r="AG8" s="1" t="s">
        <v>2</v>
      </c>
      <c r="AH8" s="1" t="s">
        <v>2</v>
      </c>
      <c r="AI8" s="1" t="s">
        <v>2</v>
      </c>
      <c r="AJ8" s="1" t="s">
        <v>2</v>
      </c>
      <c r="AK8" s="1" t="s">
        <v>451</v>
      </c>
    </row>
    <row r="9" spans="1:40" ht="16.350000000000001" customHeight="1" x14ac:dyDescent="0.2">
      <c r="A9" s="12" t="s">
        <v>574</v>
      </c>
      <c r="B9" s="12">
        <v>589000535</v>
      </c>
      <c r="C9" s="12" t="s">
        <v>575</v>
      </c>
      <c r="D9" s="12" t="s">
        <v>432</v>
      </c>
      <c r="E9" s="12" t="s">
        <v>7</v>
      </c>
      <c r="F9" s="7" t="s">
        <v>576</v>
      </c>
      <c r="G9" s="7" t="s">
        <v>577</v>
      </c>
      <c r="H9" s="12" t="s">
        <v>11</v>
      </c>
      <c r="I9" s="12" t="s">
        <v>433</v>
      </c>
      <c r="J9" s="12" t="s">
        <v>2</v>
      </c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 t="s">
        <v>789</v>
      </c>
      <c r="AA9" s="1" t="s">
        <v>811</v>
      </c>
      <c r="AB9" s="1" t="s">
        <v>2</v>
      </c>
      <c r="AC9" s="1" t="s">
        <v>812</v>
      </c>
      <c r="AD9" s="1" t="s">
        <v>2</v>
      </c>
      <c r="AE9" s="1" t="s">
        <v>813</v>
      </c>
      <c r="AF9" s="1" t="s">
        <v>2</v>
      </c>
      <c r="AG9" s="1" t="s">
        <v>814</v>
      </c>
      <c r="AH9" s="1" t="s">
        <v>2</v>
      </c>
      <c r="AI9" s="1" t="s">
        <v>815</v>
      </c>
      <c r="AJ9" s="1" t="s">
        <v>2</v>
      </c>
      <c r="AK9" s="1" t="s">
        <v>576</v>
      </c>
      <c r="AM9" s="9">
        <v>44900.600474537037</v>
      </c>
    </row>
    <row r="10" spans="1:40" ht="15.75" hidden="1" customHeight="1" x14ac:dyDescent="0.2">
      <c r="A10" s="12" t="s">
        <v>215</v>
      </c>
      <c r="B10" s="12" t="s">
        <v>238</v>
      </c>
      <c r="C10" s="12" t="s">
        <v>249</v>
      </c>
      <c r="D10" s="12" t="s">
        <v>157</v>
      </c>
      <c r="E10" s="12" t="s">
        <v>232</v>
      </c>
      <c r="F10" s="7" t="s">
        <v>570</v>
      </c>
      <c r="G10" s="7"/>
      <c r="H10" s="12" t="s">
        <v>11</v>
      </c>
      <c r="I10" s="12" t="s">
        <v>16</v>
      </c>
      <c r="J10" s="12" t="s">
        <v>816</v>
      </c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 t="s">
        <v>620</v>
      </c>
      <c r="AA10" s="1" t="s">
        <v>2</v>
      </c>
      <c r="AB10" s="1" t="s">
        <v>2</v>
      </c>
      <c r="AC10" s="1" t="s">
        <v>2</v>
      </c>
      <c r="AD10" s="1" t="s">
        <v>2</v>
      </c>
      <c r="AE10" s="1" t="s">
        <v>2</v>
      </c>
      <c r="AF10" s="1" t="s">
        <v>2</v>
      </c>
      <c r="AG10" s="1" t="s">
        <v>2</v>
      </c>
      <c r="AH10" s="1" t="s">
        <v>2</v>
      </c>
      <c r="AI10" s="1" t="s">
        <v>2</v>
      </c>
      <c r="AJ10" s="1" t="s">
        <v>2</v>
      </c>
      <c r="AK10" s="1" t="s">
        <v>570</v>
      </c>
    </row>
    <row r="11" spans="1:40" ht="16.350000000000001" customHeight="1" x14ac:dyDescent="0.2">
      <c r="A11" s="12" t="s">
        <v>6</v>
      </c>
      <c r="B11" s="12">
        <v>58900196</v>
      </c>
      <c r="C11" s="12" t="s">
        <v>8</v>
      </c>
      <c r="D11" s="12" t="s">
        <v>154</v>
      </c>
      <c r="E11" s="12" t="s">
        <v>7</v>
      </c>
      <c r="F11" s="7">
        <v>44264</v>
      </c>
      <c r="G11" s="7">
        <v>44994</v>
      </c>
      <c r="H11" s="12" t="s">
        <v>11</v>
      </c>
      <c r="I11" s="12" t="s">
        <v>9</v>
      </c>
      <c r="J11" s="12" t="s">
        <v>2</v>
      </c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 t="s">
        <v>789</v>
      </c>
      <c r="AA11" s="1" t="s">
        <v>817</v>
      </c>
      <c r="AB11" s="1" t="s">
        <v>2</v>
      </c>
      <c r="AC11" s="1" t="s">
        <v>818</v>
      </c>
      <c r="AD11" s="1" t="s">
        <v>819</v>
      </c>
      <c r="AE11" s="1" t="s">
        <v>820</v>
      </c>
      <c r="AF11" s="1" t="s">
        <v>821</v>
      </c>
      <c r="AG11" s="1" t="s">
        <v>822</v>
      </c>
      <c r="AH11" s="1" t="s">
        <v>823</v>
      </c>
      <c r="AI11" s="1" t="s">
        <v>824</v>
      </c>
      <c r="AJ11" s="1" t="s">
        <v>825</v>
      </c>
      <c r="AK11" s="8">
        <v>44264</v>
      </c>
    </row>
    <row r="12" spans="1:40" ht="16.350000000000001" customHeight="1" x14ac:dyDescent="0.2">
      <c r="A12" s="12" t="s">
        <v>12</v>
      </c>
      <c r="B12" s="12">
        <v>58900216</v>
      </c>
      <c r="C12" s="12" t="s">
        <v>13</v>
      </c>
      <c r="D12" s="12" t="s">
        <v>154</v>
      </c>
      <c r="E12" s="12" t="s">
        <v>7</v>
      </c>
      <c r="F12" s="7">
        <v>44264</v>
      </c>
      <c r="G12" s="7">
        <v>44995</v>
      </c>
      <c r="H12" s="12" t="s">
        <v>11</v>
      </c>
      <c r="I12" s="12" t="s">
        <v>10</v>
      </c>
      <c r="J12" s="12" t="s">
        <v>2</v>
      </c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 t="s">
        <v>789</v>
      </c>
      <c r="AK12" s="8">
        <v>44264</v>
      </c>
      <c r="AM12" s="9">
        <v>44903.281400462962</v>
      </c>
    </row>
    <row r="13" spans="1:40" ht="16.350000000000001" customHeight="1" x14ac:dyDescent="0.2">
      <c r="A13" s="12" t="s">
        <v>17</v>
      </c>
      <c r="B13" s="12" t="s">
        <v>22</v>
      </c>
      <c r="C13" s="12" t="s">
        <v>18</v>
      </c>
      <c r="D13" s="12" t="s">
        <v>154</v>
      </c>
      <c r="E13" s="12" t="s">
        <v>19</v>
      </c>
      <c r="F13" s="7" t="s">
        <v>702</v>
      </c>
      <c r="G13" s="7" t="s">
        <v>703</v>
      </c>
      <c r="H13" s="12" t="s">
        <v>11</v>
      </c>
      <c r="I13" s="12" t="s">
        <v>20</v>
      </c>
      <c r="J13" s="12" t="s">
        <v>705</v>
      </c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 t="s">
        <v>789</v>
      </c>
      <c r="AK13" s="1" t="s">
        <v>702</v>
      </c>
    </row>
    <row r="14" spans="1:40" ht="16.350000000000001" customHeight="1" x14ac:dyDescent="0.2">
      <c r="A14" s="12" t="s">
        <v>21</v>
      </c>
      <c r="B14" s="12" t="s">
        <v>22</v>
      </c>
      <c r="C14" s="12" t="s">
        <v>18</v>
      </c>
      <c r="D14" s="12" t="s">
        <v>154</v>
      </c>
      <c r="E14" s="12" t="s">
        <v>19</v>
      </c>
      <c r="F14" s="7" t="s">
        <v>702</v>
      </c>
      <c r="G14" s="7" t="s">
        <v>703</v>
      </c>
      <c r="H14" s="12" t="s">
        <v>11</v>
      </c>
      <c r="I14" s="12" t="s">
        <v>23</v>
      </c>
      <c r="J14" s="12" t="s">
        <v>708</v>
      </c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 t="s">
        <v>789</v>
      </c>
      <c r="AK14" s="1" t="s">
        <v>702</v>
      </c>
    </row>
    <row r="15" spans="1:40" ht="16.350000000000001" hidden="1" customHeight="1" x14ac:dyDescent="0.2">
      <c r="A15" s="12" t="s">
        <v>359</v>
      </c>
      <c r="B15" s="12" t="s">
        <v>360</v>
      </c>
      <c r="C15" s="12" t="s">
        <v>361</v>
      </c>
      <c r="D15" s="12" t="s">
        <v>157</v>
      </c>
      <c r="E15" s="12" t="s">
        <v>19</v>
      </c>
      <c r="F15" s="7">
        <v>44196</v>
      </c>
      <c r="G15" s="7">
        <f>F15+731</f>
        <v>44927</v>
      </c>
      <c r="H15" s="12" t="s">
        <v>11</v>
      </c>
      <c r="I15" s="12" t="s">
        <v>16</v>
      </c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 t="s">
        <v>619</v>
      </c>
      <c r="AK15" s="1">
        <v>44196</v>
      </c>
    </row>
    <row r="16" spans="1:40" ht="16.350000000000001" hidden="1" customHeight="1" x14ac:dyDescent="0.2">
      <c r="A16" s="12" t="s">
        <v>24</v>
      </c>
      <c r="B16" s="12" t="s">
        <v>22</v>
      </c>
      <c r="C16" s="12" t="s">
        <v>18</v>
      </c>
      <c r="D16" s="12" t="s">
        <v>154</v>
      </c>
      <c r="E16" s="12" t="s">
        <v>19</v>
      </c>
      <c r="F16" s="7" t="s">
        <v>570</v>
      </c>
      <c r="G16" s="7" t="s">
        <v>570</v>
      </c>
      <c r="H16" s="12" t="s">
        <v>11</v>
      </c>
      <c r="I16" s="12" t="s">
        <v>25</v>
      </c>
      <c r="J16" s="12" t="s">
        <v>747</v>
      </c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 t="s">
        <v>619</v>
      </c>
      <c r="AK16" s="1" t="s">
        <v>570</v>
      </c>
    </row>
    <row r="17" spans="1:39" ht="16.350000000000001" customHeight="1" x14ac:dyDescent="0.2">
      <c r="A17" s="12" t="s">
        <v>26</v>
      </c>
      <c r="B17" s="12">
        <v>1025508</v>
      </c>
      <c r="C17" s="12" t="s">
        <v>27</v>
      </c>
      <c r="D17" s="12" t="s">
        <v>154</v>
      </c>
      <c r="E17" s="12" t="s">
        <v>19</v>
      </c>
      <c r="F17" s="7">
        <v>44816</v>
      </c>
      <c r="G17" s="7" t="s">
        <v>731</v>
      </c>
      <c r="H17" s="12" t="s">
        <v>11</v>
      </c>
      <c r="I17" s="12" t="s">
        <v>28</v>
      </c>
      <c r="J17" s="12" t="s">
        <v>651</v>
      </c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 t="s">
        <v>789</v>
      </c>
    </row>
    <row r="18" spans="1:39" ht="16.350000000000001" customHeight="1" x14ac:dyDescent="0.2">
      <c r="A18" s="12" t="s">
        <v>29</v>
      </c>
      <c r="B18" s="12" t="s">
        <v>30</v>
      </c>
      <c r="C18" s="12" t="s">
        <v>31</v>
      </c>
      <c r="D18" s="12" t="s">
        <v>154</v>
      </c>
      <c r="E18" s="12" t="s">
        <v>30</v>
      </c>
      <c r="F18" s="7">
        <v>44180</v>
      </c>
      <c r="G18" s="7">
        <v>44911</v>
      </c>
      <c r="H18" s="12" t="s">
        <v>11</v>
      </c>
      <c r="I18" s="12" t="s">
        <v>16</v>
      </c>
      <c r="J18" s="12" t="s">
        <v>2</v>
      </c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 t="s">
        <v>789</v>
      </c>
    </row>
    <row r="19" spans="1:39" ht="16.350000000000001" customHeight="1" x14ac:dyDescent="0.2">
      <c r="A19" s="12" t="s">
        <v>32</v>
      </c>
      <c r="B19" s="12" t="s">
        <v>33</v>
      </c>
      <c r="C19" s="12" t="s">
        <v>679</v>
      </c>
      <c r="D19" s="12" t="s">
        <v>154</v>
      </c>
      <c r="E19" s="12" t="s">
        <v>19</v>
      </c>
      <c r="F19" s="7">
        <v>44322</v>
      </c>
      <c r="G19" s="7">
        <v>45053</v>
      </c>
      <c r="H19" s="12" t="s">
        <v>11</v>
      </c>
      <c r="I19" s="12" t="s">
        <v>10</v>
      </c>
      <c r="J19" s="12" t="s">
        <v>2</v>
      </c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 t="s">
        <v>789</v>
      </c>
    </row>
    <row r="20" spans="1:39" ht="16.350000000000001" customHeight="1" x14ac:dyDescent="0.2">
      <c r="A20" s="12" t="s">
        <v>34</v>
      </c>
      <c r="B20" s="12" t="s">
        <v>35</v>
      </c>
      <c r="C20" s="12" t="s">
        <v>36</v>
      </c>
      <c r="D20" s="12" t="s">
        <v>154</v>
      </c>
      <c r="E20" s="12" t="s">
        <v>19</v>
      </c>
      <c r="F20" s="7" t="s">
        <v>706</v>
      </c>
      <c r="G20" s="7" t="s">
        <v>707</v>
      </c>
      <c r="H20" s="12" t="s">
        <v>11</v>
      </c>
      <c r="I20" s="12" t="s">
        <v>20</v>
      </c>
      <c r="J20" s="12" t="s">
        <v>2</v>
      </c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 t="s">
        <v>789</v>
      </c>
      <c r="AK20" s="1" t="s">
        <v>706</v>
      </c>
      <c r="AM20" s="9">
        <v>44901.357685185183</v>
      </c>
    </row>
    <row r="21" spans="1:39" ht="16.350000000000001" customHeight="1" x14ac:dyDescent="0.2">
      <c r="A21" s="12" t="s">
        <v>37</v>
      </c>
      <c r="B21" s="12" t="s">
        <v>38</v>
      </c>
      <c r="C21" s="12" t="s">
        <v>39</v>
      </c>
      <c r="D21" s="12" t="s">
        <v>154</v>
      </c>
      <c r="E21" s="12" t="s">
        <v>19</v>
      </c>
      <c r="F21" s="7" t="s">
        <v>698</v>
      </c>
      <c r="G21" s="7" t="s">
        <v>697</v>
      </c>
      <c r="H21" s="12" t="s">
        <v>11</v>
      </c>
      <c r="I21" s="12" t="s">
        <v>40</v>
      </c>
      <c r="J21" s="12" t="s">
        <v>699</v>
      </c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 t="s">
        <v>789</v>
      </c>
      <c r="AA21" s="1" t="s">
        <v>2</v>
      </c>
      <c r="AB21" s="1" t="s">
        <v>2</v>
      </c>
      <c r="AC21" s="1" t="s">
        <v>2</v>
      </c>
      <c r="AD21" s="1" t="s">
        <v>2</v>
      </c>
      <c r="AE21" s="1" t="s">
        <v>2</v>
      </c>
      <c r="AF21" s="1" t="s">
        <v>2</v>
      </c>
      <c r="AG21" s="1" t="s">
        <v>2</v>
      </c>
      <c r="AH21" s="1" t="s">
        <v>2</v>
      </c>
      <c r="AI21" s="1" t="s">
        <v>2</v>
      </c>
      <c r="AJ21" s="1" t="s">
        <v>2</v>
      </c>
      <c r="AK21" s="1" t="s">
        <v>698</v>
      </c>
    </row>
    <row r="22" spans="1:39" ht="16.350000000000001" customHeight="1" x14ac:dyDescent="0.2">
      <c r="A22" s="12" t="s">
        <v>41</v>
      </c>
      <c r="B22" s="12" t="s">
        <v>35</v>
      </c>
      <c r="C22" s="12" t="s">
        <v>36</v>
      </c>
      <c r="D22" s="12" t="s">
        <v>154</v>
      </c>
      <c r="E22" s="12" t="s">
        <v>19</v>
      </c>
      <c r="F22" s="7" t="s">
        <v>722</v>
      </c>
      <c r="G22" s="7" t="s">
        <v>723</v>
      </c>
      <c r="H22" s="12" t="s">
        <v>11</v>
      </c>
      <c r="I22" s="12" t="s">
        <v>106</v>
      </c>
      <c r="J22" s="12" t="s">
        <v>2</v>
      </c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 t="s">
        <v>789</v>
      </c>
      <c r="AK22" s="1" t="s">
        <v>722</v>
      </c>
    </row>
    <row r="23" spans="1:39" ht="16.350000000000001" customHeight="1" x14ac:dyDescent="0.2">
      <c r="A23" s="12" t="s">
        <v>453</v>
      </c>
      <c r="B23" s="12">
        <v>362114510</v>
      </c>
      <c r="C23" s="12" t="s">
        <v>454</v>
      </c>
      <c r="D23" s="12" t="s">
        <v>455</v>
      </c>
      <c r="E23" s="12" t="s">
        <v>425</v>
      </c>
      <c r="F23" s="7" t="s">
        <v>713</v>
      </c>
      <c r="G23" s="7" t="s">
        <v>714</v>
      </c>
      <c r="H23" s="12" t="s">
        <v>11</v>
      </c>
      <c r="I23" s="12" t="s">
        <v>456</v>
      </c>
      <c r="J23" s="12" t="s">
        <v>457</v>
      </c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 t="s">
        <v>789</v>
      </c>
      <c r="AK23" s="1" t="s">
        <v>713</v>
      </c>
    </row>
    <row r="24" spans="1:39" ht="16.350000000000001" customHeight="1" x14ac:dyDescent="0.2">
      <c r="A24" s="12" t="s">
        <v>458</v>
      </c>
      <c r="B24" s="12">
        <v>302117510</v>
      </c>
      <c r="C24" s="12" t="s">
        <v>459</v>
      </c>
      <c r="D24" s="12" t="s">
        <v>462</v>
      </c>
      <c r="E24" s="12" t="s">
        <v>425</v>
      </c>
      <c r="F24" s="7" t="s">
        <v>713</v>
      </c>
      <c r="G24" s="7" t="s">
        <v>714</v>
      </c>
      <c r="H24" s="12" t="s">
        <v>11</v>
      </c>
      <c r="I24" s="12" t="s">
        <v>456</v>
      </c>
      <c r="J24" s="12" t="s">
        <v>457</v>
      </c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 t="s">
        <v>789</v>
      </c>
      <c r="AK24" s="1" t="s">
        <v>713</v>
      </c>
    </row>
    <row r="25" spans="1:39" ht="16.350000000000001" customHeight="1" x14ac:dyDescent="0.2">
      <c r="A25" s="12" t="s">
        <v>460</v>
      </c>
      <c r="B25" s="12">
        <v>302120510</v>
      </c>
      <c r="C25" s="12" t="s">
        <v>461</v>
      </c>
      <c r="D25" s="12" t="s">
        <v>462</v>
      </c>
      <c r="E25" s="12" t="s">
        <v>425</v>
      </c>
      <c r="F25" s="7" t="s">
        <v>713</v>
      </c>
      <c r="G25" s="7" t="s">
        <v>714</v>
      </c>
      <c r="H25" s="12" t="s">
        <v>11</v>
      </c>
      <c r="I25" s="12" t="s">
        <v>456</v>
      </c>
      <c r="J25" s="12" t="s">
        <v>457</v>
      </c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 t="s">
        <v>789</v>
      </c>
      <c r="AK25" s="1" t="s">
        <v>713</v>
      </c>
    </row>
    <row r="26" spans="1:39" ht="16.350000000000001" customHeight="1" x14ac:dyDescent="0.2">
      <c r="A26" s="12" t="s">
        <v>42</v>
      </c>
      <c r="B26" s="12" t="s">
        <v>43</v>
      </c>
      <c r="C26" s="12" t="s">
        <v>44</v>
      </c>
      <c r="D26" s="12" t="s">
        <v>154</v>
      </c>
      <c r="E26" s="12" t="s">
        <v>19</v>
      </c>
      <c r="F26" s="7" t="s">
        <v>702</v>
      </c>
      <c r="G26" s="7" t="s">
        <v>703</v>
      </c>
      <c r="H26" s="12" t="s">
        <v>11</v>
      </c>
      <c r="I26" s="12" t="s">
        <v>16</v>
      </c>
      <c r="J26" s="12" t="s">
        <v>2</v>
      </c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 t="s">
        <v>789</v>
      </c>
      <c r="AK26" s="1" t="s">
        <v>702</v>
      </c>
    </row>
    <row r="27" spans="1:39" ht="16.350000000000001" customHeight="1" x14ac:dyDescent="0.2">
      <c r="A27" s="12" t="s">
        <v>45</v>
      </c>
      <c r="B27" s="12" t="s">
        <v>46</v>
      </c>
      <c r="C27" s="12" t="s">
        <v>47</v>
      </c>
      <c r="D27" s="12" t="s">
        <v>154</v>
      </c>
      <c r="E27" s="12" t="s">
        <v>19</v>
      </c>
      <c r="F27" s="7" t="s">
        <v>702</v>
      </c>
      <c r="G27" s="7" t="s">
        <v>703</v>
      </c>
      <c r="H27" s="12" t="s">
        <v>11</v>
      </c>
      <c r="I27" s="12" t="s">
        <v>16</v>
      </c>
      <c r="J27" s="12" t="s">
        <v>51</v>
      </c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 t="s">
        <v>789</v>
      </c>
      <c r="AK27" s="1" t="s">
        <v>702</v>
      </c>
    </row>
    <row r="28" spans="1:39" ht="16.350000000000001" customHeight="1" x14ac:dyDescent="0.2">
      <c r="A28" s="12" t="s">
        <v>48</v>
      </c>
      <c r="B28" s="12" t="s">
        <v>732</v>
      </c>
      <c r="C28" s="12" t="s">
        <v>49</v>
      </c>
      <c r="D28" s="12" t="s">
        <v>154</v>
      </c>
      <c r="E28" s="12" t="s">
        <v>19</v>
      </c>
      <c r="F28" s="7" t="s">
        <v>754</v>
      </c>
      <c r="G28" s="7" t="s">
        <v>753</v>
      </c>
      <c r="H28" s="12" t="s">
        <v>11</v>
      </c>
      <c r="I28" s="12" t="s">
        <v>16</v>
      </c>
      <c r="J28" s="12" t="s">
        <v>864</v>
      </c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 t="s">
        <v>789</v>
      </c>
      <c r="AA28" s="1" t="s">
        <v>2</v>
      </c>
      <c r="AB28" s="1" t="s">
        <v>2</v>
      </c>
      <c r="AC28" s="1" t="s">
        <v>2</v>
      </c>
      <c r="AD28" s="1" t="s">
        <v>2</v>
      </c>
      <c r="AE28" s="1" t="s">
        <v>2</v>
      </c>
      <c r="AF28" s="1" t="s">
        <v>2</v>
      </c>
      <c r="AG28" s="1" t="s">
        <v>2</v>
      </c>
      <c r="AH28" s="1" t="s">
        <v>2</v>
      </c>
      <c r="AI28" s="1" t="s">
        <v>2</v>
      </c>
      <c r="AJ28" s="1" t="s">
        <v>2</v>
      </c>
      <c r="AK28" s="1" t="s">
        <v>754</v>
      </c>
      <c r="AL28" s="9">
        <v>44901.366446759261</v>
      </c>
      <c r="AM28" s="9">
        <v>44901.36650462963</v>
      </c>
    </row>
    <row r="29" spans="1:39" ht="16.350000000000001" customHeight="1" x14ac:dyDescent="0.2">
      <c r="A29" s="12" t="s">
        <v>52</v>
      </c>
      <c r="B29" s="12">
        <v>1024381</v>
      </c>
      <c r="C29" s="12" t="s">
        <v>53</v>
      </c>
      <c r="D29" s="12" t="s">
        <v>154</v>
      </c>
      <c r="E29" s="12" t="s">
        <v>19</v>
      </c>
      <c r="F29" s="7" t="s">
        <v>701</v>
      </c>
      <c r="G29" s="7" t="s">
        <v>700</v>
      </c>
      <c r="H29" s="12" t="s">
        <v>11</v>
      </c>
      <c r="I29" s="12" t="s">
        <v>10</v>
      </c>
      <c r="J29" s="12" t="s">
        <v>2</v>
      </c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 t="s">
        <v>789</v>
      </c>
      <c r="AK29" s="1" t="s">
        <v>701</v>
      </c>
    </row>
    <row r="30" spans="1:39" ht="16.350000000000001" customHeight="1" x14ac:dyDescent="0.2">
      <c r="A30" s="12" t="s">
        <v>54</v>
      </c>
      <c r="B30" s="12" t="s">
        <v>55</v>
      </c>
      <c r="C30" s="12" t="s">
        <v>56</v>
      </c>
      <c r="D30" s="12" t="s">
        <v>476</v>
      </c>
      <c r="E30" s="12" t="s">
        <v>19</v>
      </c>
      <c r="F30" s="7" t="s">
        <v>736</v>
      </c>
      <c r="G30" s="7" t="s">
        <v>737</v>
      </c>
      <c r="H30" s="12" t="s">
        <v>11</v>
      </c>
      <c r="I30" s="12" t="s">
        <v>16</v>
      </c>
      <c r="J30" s="12" t="s">
        <v>57</v>
      </c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 t="s">
        <v>789</v>
      </c>
      <c r="AK30" s="1" t="s">
        <v>736</v>
      </c>
    </row>
    <row r="31" spans="1:39" ht="16.350000000000001" customHeight="1" x14ac:dyDescent="0.2">
      <c r="A31" s="12" t="s">
        <v>58</v>
      </c>
      <c r="B31" s="12" t="s">
        <v>59</v>
      </c>
      <c r="C31" s="12" t="s">
        <v>60</v>
      </c>
      <c r="D31" s="12" t="s">
        <v>154</v>
      </c>
      <c r="E31" s="12" t="s">
        <v>19</v>
      </c>
      <c r="F31" s="7" t="s">
        <v>701</v>
      </c>
      <c r="G31" s="7" t="s">
        <v>700</v>
      </c>
      <c r="H31" s="12" t="s">
        <v>11</v>
      </c>
      <c r="I31" s="12" t="s">
        <v>10</v>
      </c>
      <c r="J31" s="12" t="s">
        <v>61</v>
      </c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 t="s">
        <v>789</v>
      </c>
      <c r="AK31" s="1" t="s">
        <v>701</v>
      </c>
    </row>
    <row r="32" spans="1:39" ht="16.350000000000001" customHeight="1" x14ac:dyDescent="0.2">
      <c r="A32" s="12" t="s">
        <v>64</v>
      </c>
      <c r="B32" s="12">
        <v>1021870</v>
      </c>
      <c r="C32" s="12" t="s">
        <v>65</v>
      </c>
      <c r="D32" s="12" t="s">
        <v>154</v>
      </c>
      <c r="E32" s="12" t="s">
        <v>19</v>
      </c>
      <c r="F32" s="7">
        <v>44322</v>
      </c>
      <c r="G32" s="7">
        <v>45053</v>
      </c>
      <c r="H32" s="12" t="s">
        <v>11</v>
      </c>
      <c r="I32" s="12" t="s">
        <v>16</v>
      </c>
      <c r="J32" s="12" t="s">
        <v>2</v>
      </c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 t="s">
        <v>789</v>
      </c>
    </row>
    <row r="33" spans="1:39" ht="16.350000000000001" customHeight="1" x14ac:dyDescent="0.2">
      <c r="A33" s="12" t="s">
        <v>66</v>
      </c>
      <c r="B33" s="12" t="s">
        <v>67</v>
      </c>
      <c r="C33" s="12" t="s">
        <v>68</v>
      </c>
      <c r="D33" s="12" t="s">
        <v>154</v>
      </c>
      <c r="E33" s="12" t="s">
        <v>19</v>
      </c>
      <c r="F33" s="7">
        <v>44263</v>
      </c>
      <c r="G33" s="7">
        <v>44994</v>
      </c>
      <c r="H33" s="12" t="s">
        <v>11</v>
      </c>
      <c r="I33" s="12" t="s">
        <v>16</v>
      </c>
      <c r="J33" s="12" t="s">
        <v>2</v>
      </c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 t="s">
        <v>789</v>
      </c>
    </row>
    <row r="34" spans="1:39" ht="16.350000000000001" customHeight="1" x14ac:dyDescent="0.2">
      <c r="A34" s="12" t="s">
        <v>69</v>
      </c>
      <c r="B34" s="12" t="s">
        <v>70</v>
      </c>
      <c r="C34" s="12" t="s">
        <v>71</v>
      </c>
      <c r="D34" s="12" t="s">
        <v>154</v>
      </c>
      <c r="E34" s="12" t="s">
        <v>30</v>
      </c>
      <c r="F34" s="7" t="s">
        <v>809</v>
      </c>
      <c r="G34" s="7" t="s">
        <v>810</v>
      </c>
      <c r="H34" s="12" t="s">
        <v>11</v>
      </c>
      <c r="I34" s="12" t="s">
        <v>16</v>
      </c>
      <c r="J34" s="12" t="s">
        <v>751</v>
      </c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 t="s">
        <v>789</v>
      </c>
      <c r="AK34" s="1" t="s">
        <v>809</v>
      </c>
      <c r="AM34" s="9">
        <v>44901.361006944448</v>
      </c>
    </row>
    <row r="35" spans="1:39" ht="16.350000000000001" customHeight="1" x14ac:dyDescent="0.2">
      <c r="A35" s="12" t="s">
        <v>72</v>
      </c>
      <c r="B35" s="12" t="s">
        <v>73</v>
      </c>
      <c r="C35" s="12" t="s">
        <v>74</v>
      </c>
      <c r="D35" s="12" t="s">
        <v>154</v>
      </c>
      <c r="E35" s="12" t="s">
        <v>19</v>
      </c>
      <c r="F35" s="7" t="s">
        <v>736</v>
      </c>
      <c r="G35" s="7" t="s">
        <v>737</v>
      </c>
      <c r="H35" s="12" t="s">
        <v>11</v>
      </c>
      <c r="I35" s="12" t="s">
        <v>16</v>
      </c>
      <c r="J35" s="12" t="s">
        <v>739</v>
      </c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 t="s">
        <v>789</v>
      </c>
      <c r="AK35" s="1" t="s">
        <v>736</v>
      </c>
    </row>
    <row r="36" spans="1:39" ht="16.350000000000001" customHeight="1" x14ac:dyDescent="0.2">
      <c r="A36" s="12" t="s">
        <v>75</v>
      </c>
      <c r="B36" s="12" t="s">
        <v>73</v>
      </c>
      <c r="C36" s="12" t="s">
        <v>74</v>
      </c>
      <c r="D36" s="12" t="s">
        <v>154</v>
      </c>
      <c r="E36" s="12" t="s">
        <v>19</v>
      </c>
      <c r="F36" s="7" t="s">
        <v>738</v>
      </c>
      <c r="G36" s="7" t="s">
        <v>733</v>
      </c>
      <c r="H36" s="12" t="s">
        <v>11</v>
      </c>
      <c r="I36" s="12" t="s">
        <v>16</v>
      </c>
      <c r="J36" s="12" t="s">
        <v>740</v>
      </c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 t="s">
        <v>789</v>
      </c>
      <c r="AK36" s="1" t="s">
        <v>738</v>
      </c>
    </row>
    <row r="37" spans="1:39" ht="16.350000000000001" customHeight="1" x14ac:dyDescent="0.2">
      <c r="A37" s="12" t="s">
        <v>76</v>
      </c>
      <c r="B37" s="12" t="s">
        <v>73</v>
      </c>
      <c r="C37" s="12" t="s">
        <v>74</v>
      </c>
      <c r="D37" s="12" t="s">
        <v>154</v>
      </c>
      <c r="E37" s="12" t="s">
        <v>19</v>
      </c>
      <c r="F37" s="7" t="s">
        <v>738</v>
      </c>
      <c r="G37" s="7" t="s">
        <v>733</v>
      </c>
      <c r="H37" s="12" t="s">
        <v>11</v>
      </c>
      <c r="I37" s="12" t="s">
        <v>16</v>
      </c>
      <c r="J37" s="12" t="s">
        <v>741</v>
      </c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 t="s">
        <v>789</v>
      </c>
      <c r="AK37" s="1" t="s">
        <v>738</v>
      </c>
    </row>
    <row r="38" spans="1:39" ht="16.350000000000001" customHeight="1" x14ac:dyDescent="0.2">
      <c r="A38" s="12" t="s">
        <v>77</v>
      </c>
      <c r="B38" s="12" t="s">
        <v>73</v>
      </c>
      <c r="C38" s="12" t="s">
        <v>74</v>
      </c>
      <c r="D38" s="12" t="s">
        <v>154</v>
      </c>
      <c r="E38" s="12" t="s">
        <v>19</v>
      </c>
      <c r="F38" s="7" t="s">
        <v>736</v>
      </c>
      <c r="G38" s="7" t="s">
        <v>737</v>
      </c>
      <c r="H38" s="12" t="s">
        <v>11</v>
      </c>
      <c r="I38" s="12" t="s">
        <v>16</v>
      </c>
      <c r="J38" s="12" t="s">
        <v>742</v>
      </c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 t="s">
        <v>789</v>
      </c>
      <c r="AK38" s="1" t="s">
        <v>736</v>
      </c>
    </row>
    <row r="39" spans="1:39" ht="16.350000000000001" customHeight="1" x14ac:dyDescent="0.2">
      <c r="A39" s="12" t="s">
        <v>78</v>
      </c>
      <c r="B39" s="12" t="s">
        <v>79</v>
      </c>
      <c r="C39" s="12" t="s">
        <v>80</v>
      </c>
      <c r="D39" s="12" t="s">
        <v>476</v>
      </c>
      <c r="E39" s="12" t="s">
        <v>19</v>
      </c>
      <c r="F39" s="7" t="s">
        <v>666</v>
      </c>
      <c r="G39" s="7" t="s">
        <v>665</v>
      </c>
      <c r="H39" s="12" t="s">
        <v>11</v>
      </c>
      <c r="I39" s="12" t="s">
        <v>16</v>
      </c>
      <c r="J39" s="12" t="s">
        <v>672</v>
      </c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 t="s">
        <v>789</v>
      </c>
      <c r="AK39" s="1" t="s">
        <v>666</v>
      </c>
    </row>
    <row r="40" spans="1:39" ht="16.350000000000001" hidden="1" customHeight="1" x14ac:dyDescent="0.2">
      <c r="A40" s="12" t="s">
        <v>493</v>
      </c>
      <c r="B40" s="12" t="s">
        <v>790</v>
      </c>
      <c r="C40" s="12" t="s">
        <v>494</v>
      </c>
      <c r="D40" s="12" t="s">
        <v>476</v>
      </c>
      <c r="E40" s="12" t="s">
        <v>425</v>
      </c>
      <c r="F40" s="7" t="s">
        <v>495</v>
      </c>
      <c r="G40" s="7" t="s">
        <v>496</v>
      </c>
      <c r="H40" s="12" t="s">
        <v>11</v>
      </c>
      <c r="I40" s="12" t="s">
        <v>510</v>
      </c>
      <c r="J40" s="12" t="s">
        <v>2</v>
      </c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 t="s">
        <v>619</v>
      </c>
      <c r="AK40" s="1" t="s">
        <v>495</v>
      </c>
    </row>
    <row r="41" spans="1:39" ht="16.350000000000001" customHeight="1" x14ac:dyDescent="0.2">
      <c r="A41" s="12" t="s">
        <v>463</v>
      </c>
      <c r="B41" s="12" t="s">
        <v>845</v>
      </c>
      <c r="C41" s="12" t="s">
        <v>459</v>
      </c>
      <c r="D41" s="12" t="s">
        <v>462</v>
      </c>
      <c r="E41" s="12" t="s">
        <v>425</v>
      </c>
      <c r="F41" s="7" t="s">
        <v>754</v>
      </c>
      <c r="G41" s="7" t="s">
        <v>753</v>
      </c>
      <c r="H41" s="12" t="s">
        <v>11</v>
      </c>
      <c r="I41" s="12" t="s">
        <v>134</v>
      </c>
      <c r="J41" s="12" t="s">
        <v>846</v>
      </c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 t="s">
        <v>789</v>
      </c>
      <c r="AK41" s="1" t="s">
        <v>754</v>
      </c>
    </row>
    <row r="42" spans="1:39" ht="16.350000000000001" customHeight="1" x14ac:dyDescent="0.2">
      <c r="A42" s="12" t="s">
        <v>465</v>
      </c>
      <c r="B42" s="12" t="s">
        <v>847</v>
      </c>
      <c r="C42" s="12" t="s">
        <v>461</v>
      </c>
      <c r="D42" s="12" t="s">
        <v>462</v>
      </c>
      <c r="E42" s="12" t="s">
        <v>425</v>
      </c>
      <c r="F42" s="7" t="s">
        <v>466</v>
      </c>
      <c r="G42" s="7" t="s">
        <v>467</v>
      </c>
      <c r="H42" s="12" t="s">
        <v>11</v>
      </c>
      <c r="I42" s="12" t="s">
        <v>134</v>
      </c>
      <c r="J42" s="12" t="s">
        <v>848</v>
      </c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 t="s">
        <v>789</v>
      </c>
      <c r="AK42" s="1" t="s">
        <v>466</v>
      </c>
    </row>
    <row r="43" spans="1:39" ht="16.350000000000001" customHeight="1" x14ac:dyDescent="0.2">
      <c r="A43" s="12" t="s">
        <v>84</v>
      </c>
      <c r="B43" s="12" t="s">
        <v>85</v>
      </c>
      <c r="C43" s="12" t="s">
        <v>86</v>
      </c>
      <c r="D43" s="12" t="s">
        <v>154</v>
      </c>
      <c r="E43" s="12" t="s">
        <v>87</v>
      </c>
      <c r="F43" s="7" t="s">
        <v>656</v>
      </c>
      <c r="G43" s="7" t="s">
        <v>657</v>
      </c>
      <c r="H43" s="12" t="s">
        <v>11</v>
      </c>
      <c r="I43" s="12" t="s">
        <v>16</v>
      </c>
      <c r="J43" s="12" t="s">
        <v>2</v>
      </c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 t="s">
        <v>789</v>
      </c>
      <c r="AK43" s="1" t="s">
        <v>656</v>
      </c>
    </row>
    <row r="44" spans="1:39" ht="16.350000000000001" customHeight="1" x14ac:dyDescent="0.2">
      <c r="A44" s="12" t="s">
        <v>88</v>
      </c>
      <c r="B44" s="12" t="s">
        <v>89</v>
      </c>
      <c r="C44" s="12" t="s">
        <v>90</v>
      </c>
      <c r="D44" s="12" t="s">
        <v>154</v>
      </c>
      <c r="E44" s="12" t="s">
        <v>87</v>
      </c>
      <c r="F44" s="7" t="s">
        <v>627</v>
      </c>
      <c r="G44" s="7" t="s">
        <v>628</v>
      </c>
      <c r="H44" s="12" t="s">
        <v>11</v>
      </c>
      <c r="I44" s="12" t="s">
        <v>91</v>
      </c>
      <c r="J44" s="12" t="s">
        <v>2</v>
      </c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 t="s">
        <v>789</v>
      </c>
      <c r="AK44" s="1" t="s">
        <v>627</v>
      </c>
    </row>
    <row r="45" spans="1:39" ht="16.350000000000001" customHeight="1" x14ac:dyDescent="0.2">
      <c r="A45" s="12" t="s">
        <v>92</v>
      </c>
      <c r="B45" s="12">
        <v>5455395</v>
      </c>
      <c r="C45" s="12" t="s">
        <v>93</v>
      </c>
      <c r="D45" s="12" t="s">
        <v>154</v>
      </c>
      <c r="E45" s="12" t="s">
        <v>19</v>
      </c>
      <c r="F45" s="7" t="s">
        <v>701</v>
      </c>
      <c r="G45" s="7" t="s">
        <v>700</v>
      </c>
      <c r="H45" s="12" t="s">
        <v>11</v>
      </c>
      <c r="I45" s="12" t="s">
        <v>10</v>
      </c>
      <c r="J45" s="12" t="s">
        <v>31</v>
      </c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 t="s">
        <v>789</v>
      </c>
      <c r="AK45" s="1" t="s">
        <v>701</v>
      </c>
    </row>
    <row r="46" spans="1:39" ht="16.350000000000001" customHeight="1" x14ac:dyDescent="0.2">
      <c r="A46" s="12" t="s">
        <v>94</v>
      </c>
      <c r="B46" s="12">
        <v>5455396</v>
      </c>
      <c r="C46" s="12" t="s">
        <v>95</v>
      </c>
      <c r="D46" s="12" t="s">
        <v>154</v>
      </c>
      <c r="E46" s="12" t="s">
        <v>19</v>
      </c>
      <c r="F46" s="7" t="s">
        <v>701</v>
      </c>
      <c r="G46" s="7" t="s">
        <v>700</v>
      </c>
      <c r="H46" s="12" t="s">
        <v>11</v>
      </c>
      <c r="I46" s="12" t="s">
        <v>10</v>
      </c>
      <c r="J46" s="12" t="s">
        <v>31</v>
      </c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 t="s">
        <v>789</v>
      </c>
      <c r="AA46" s="1" t="s">
        <v>2</v>
      </c>
      <c r="AB46" s="1" t="s">
        <v>2</v>
      </c>
      <c r="AC46" s="1" t="s">
        <v>2</v>
      </c>
      <c r="AD46" s="1" t="s">
        <v>2</v>
      </c>
      <c r="AE46" s="1" t="s">
        <v>2</v>
      </c>
      <c r="AF46" s="1" t="s">
        <v>2</v>
      </c>
      <c r="AG46" s="1" t="s">
        <v>2</v>
      </c>
      <c r="AH46" s="1" t="s">
        <v>2</v>
      </c>
      <c r="AI46" s="1" t="s">
        <v>2</v>
      </c>
      <c r="AJ46" s="1" t="s">
        <v>2</v>
      </c>
      <c r="AK46" s="1" t="s">
        <v>701</v>
      </c>
    </row>
    <row r="47" spans="1:39" ht="16.350000000000001" customHeight="1" x14ac:dyDescent="0.2">
      <c r="A47" s="12" t="s">
        <v>468</v>
      </c>
      <c r="B47" s="12">
        <v>302117510</v>
      </c>
      <c r="C47" s="12" t="s">
        <v>459</v>
      </c>
      <c r="D47" s="12" t="s">
        <v>462</v>
      </c>
      <c r="E47" s="12" t="s">
        <v>425</v>
      </c>
      <c r="F47" s="7" t="s">
        <v>692</v>
      </c>
      <c r="G47" s="7" t="s">
        <v>693</v>
      </c>
      <c r="H47" s="12" t="s">
        <v>11</v>
      </c>
      <c r="I47" s="12" t="s">
        <v>20</v>
      </c>
      <c r="J47" s="12" t="s">
        <v>464</v>
      </c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 t="s">
        <v>789</v>
      </c>
      <c r="AK47" s="1" t="s">
        <v>692</v>
      </c>
    </row>
    <row r="48" spans="1:39" ht="16.350000000000001" customHeight="1" x14ac:dyDescent="0.2">
      <c r="A48" s="12" t="s">
        <v>470</v>
      </c>
      <c r="B48" s="12">
        <v>302117510</v>
      </c>
      <c r="C48" s="12" t="s">
        <v>459</v>
      </c>
      <c r="D48" s="12" t="s">
        <v>462</v>
      </c>
      <c r="E48" s="12" t="s">
        <v>425</v>
      </c>
      <c r="F48" s="7" t="s">
        <v>469</v>
      </c>
      <c r="G48" s="7" t="s">
        <v>695</v>
      </c>
      <c r="H48" s="12" t="s">
        <v>11</v>
      </c>
      <c r="I48" s="12" t="s">
        <v>419</v>
      </c>
      <c r="J48" s="12" t="s">
        <v>2</v>
      </c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 t="s">
        <v>789</v>
      </c>
      <c r="AK48" s="1" t="s">
        <v>469</v>
      </c>
    </row>
    <row r="49" spans="1:37" ht="16.350000000000001" customHeight="1" x14ac:dyDescent="0.2">
      <c r="A49" s="12" t="s">
        <v>96</v>
      </c>
      <c r="B49" s="12" t="s">
        <v>97</v>
      </c>
      <c r="C49" s="12" t="s">
        <v>98</v>
      </c>
      <c r="D49" s="12" t="s">
        <v>154</v>
      </c>
      <c r="E49" s="12" t="s">
        <v>99</v>
      </c>
      <c r="F49" s="7" t="s">
        <v>629</v>
      </c>
      <c r="G49" s="7" t="s">
        <v>630</v>
      </c>
      <c r="H49" s="12" t="s">
        <v>11</v>
      </c>
      <c r="I49" s="12" t="s">
        <v>16</v>
      </c>
      <c r="J49" s="12" t="s">
        <v>100</v>
      </c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 t="s">
        <v>789</v>
      </c>
      <c r="AK49" s="1" t="s">
        <v>629</v>
      </c>
    </row>
    <row r="50" spans="1:37" ht="16.350000000000001" customHeight="1" x14ac:dyDescent="0.2">
      <c r="A50" s="12" t="s">
        <v>101</v>
      </c>
      <c r="B50" s="12">
        <v>5266759</v>
      </c>
      <c r="C50" s="12" t="s">
        <v>102</v>
      </c>
      <c r="D50" s="12" t="s">
        <v>154</v>
      </c>
      <c r="E50" s="12" t="s">
        <v>19</v>
      </c>
      <c r="F50" s="7">
        <v>44300</v>
      </c>
      <c r="G50" s="7">
        <v>45031</v>
      </c>
      <c r="H50" s="12" t="s">
        <v>11</v>
      </c>
      <c r="I50" s="12" t="s">
        <v>16</v>
      </c>
      <c r="J50" s="12" t="s">
        <v>2</v>
      </c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 t="s">
        <v>789</v>
      </c>
    </row>
    <row r="51" spans="1:37" ht="16.350000000000001" hidden="1" customHeight="1" x14ac:dyDescent="0.2">
      <c r="A51" s="12" t="s">
        <v>332</v>
      </c>
      <c r="B51" s="12" t="s">
        <v>333</v>
      </c>
      <c r="C51" s="12" t="s">
        <v>98</v>
      </c>
      <c r="D51" s="12" t="s">
        <v>157</v>
      </c>
      <c r="E51" s="12" t="s">
        <v>390</v>
      </c>
      <c r="F51" s="7">
        <v>44264</v>
      </c>
      <c r="G51" s="7">
        <f>F51+731</f>
        <v>44995</v>
      </c>
      <c r="H51" s="12" t="s">
        <v>11</v>
      </c>
      <c r="I51" s="12" t="s">
        <v>16</v>
      </c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 t="s">
        <v>619</v>
      </c>
      <c r="AA51" s="1" t="s">
        <v>2</v>
      </c>
      <c r="AB51" s="1" t="s">
        <v>2</v>
      </c>
      <c r="AC51" s="1" t="s">
        <v>2</v>
      </c>
      <c r="AD51" s="1" t="s">
        <v>2</v>
      </c>
      <c r="AE51" s="1" t="s">
        <v>2</v>
      </c>
      <c r="AF51" s="1" t="s">
        <v>2</v>
      </c>
      <c r="AG51" s="1" t="s">
        <v>2</v>
      </c>
      <c r="AH51" s="1" t="s">
        <v>2</v>
      </c>
      <c r="AI51" s="1" t="s">
        <v>2</v>
      </c>
      <c r="AJ51" s="1" t="s">
        <v>2</v>
      </c>
      <c r="AK51" s="1">
        <v>44264</v>
      </c>
    </row>
    <row r="52" spans="1:37" ht="16.350000000000001" customHeight="1" x14ac:dyDescent="0.2">
      <c r="A52" s="12" t="s">
        <v>105</v>
      </c>
      <c r="B52" s="12">
        <v>1025429</v>
      </c>
      <c r="C52" s="12" t="s">
        <v>104</v>
      </c>
      <c r="D52" s="12" t="s">
        <v>154</v>
      </c>
      <c r="E52" s="12" t="s">
        <v>19</v>
      </c>
      <c r="F52" s="7" t="s">
        <v>591</v>
      </c>
      <c r="G52" s="7" t="s">
        <v>592</v>
      </c>
      <c r="H52" s="12" t="s">
        <v>11</v>
      </c>
      <c r="I52" s="12" t="s">
        <v>106</v>
      </c>
      <c r="J52" s="12" t="s">
        <v>108</v>
      </c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 t="s">
        <v>789</v>
      </c>
      <c r="AK52" s="1" t="s">
        <v>591</v>
      </c>
    </row>
    <row r="53" spans="1:37" ht="16.350000000000001" customHeight="1" x14ac:dyDescent="0.2">
      <c r="A53" s="12" t="s">
        <v>107</v>
      </c>
      <c r="B53" s="12">
        <v>1025429</v>
      </c>
      <c r="C53" s="12" t="s">
        <v>104</v>
      </c>
      <c r="D53" s="12" t="s">
        <v>154</v>
      </c>
      <c r="E53" s="12" t="s">
        <v>19</v>
      </c>
      <c r="F53" s="7">
        <v>44368</v>
      </c>
      <c r="G53" s="7">
        <v>45078</v>
      </c>
      <c r="H53" s="12" t="s">
        <v>11</v>
      </c>
      <c r="I53" s="12" t="s">
        <v>20</v>
      </c>
      <c r="J53" s="12" t="s">
        <v>108</v>
      </c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 t="s">
        <v>789</v>
      </c>
    </row>
    <row r="54" spans="1:37" ht="16.350000000000001" customHeight="1" x14ac:dyDescent="0.2">
      <c r="A54" s="12" t="s">
        <v>109</v>
      </c>
      <c r="B54" s="12">
        <v>1025429</v>
      </c>
      <c r="C54" s="12" t="s">
        <v>104</v>
      </c>
      <c r="D54" s="12" t="s">
        <v>154</v>
      </c>
      <c r="E54" s="12" t="s">
        <v>19</v>
      </c>
      <c r="F54" s="7">
        <v>44368</v>
      </c>
      <c r="G54" s="7">
        <v>45099</v>
      </c>
      <c r="H54" s="12" t="s">
        <v>11</v>
      </c>
      <c r="I54" s="12" t="s">
        <v>106</v>
      </c>
      <c r="J54" s="12" t="s">
        <v>108</v>
      </c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 t="s">
        <v>789</v>
      </c>
    </row>
    <row r="55" spans="1:37" ht="16.350000000000001" customHeight="1" x14ac:dyDescent="0.2">
      <c r="A55" s="12" t="s">
        <v>110</v>
      </c>
      <c r="B55" s="12" t="s">
        <v>111</v>
      </c>
      <c r="C55" s="12" t="s">
        <v>112</v>
      </c>
      <c r="D55" s="12" t="s">
        <v>154</v>
      </c>
      <c r="E55" s="12" t="s">
        <v>19</v>
      </c>
      <c r="F55" s="7" t="s">
        <v>609</v>
      </c>
      <c r="G55" s="7" t="s">
        <v>610</v>
      </c>
      <c r="H55" s="12" t="s">
        <v>11</v>
      </c>
      <c r="I55" s="12" t="s">
        <v>16</v>
      </c>
      <c r="J55" s="12" t="s">
        <v>2</v>
      </c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 t="s">
        <v>789</v>
      </c>
      <c r="AK55" s="1" t="s">
        <v>609</v>
      </c>
    </row>
    <row r="56" spans="1:37" ht="16.350000000000001" customHeight="1" x14ac:dyDescent="0.2">
      <c r="A56" s="12" t="s">
        <v>113</v>
      </c>
      <c r="B56" s="12" t="s">
        <v>114</v>
      </c>
      <c r="C56" s="12" t="s">
        <v>115</v>
      </c>
      <c r="D56" s="12" t="s">
        <v>154</v>
      </c>
      <c r="E56" s="12" t="s">
        <v>19</v>
      </c>
      <c r="F56" s="7" t="s">
        <v>609</v>
      </c>
      <c r="G56" s="7" t="s">
        <v>610</v>
      </c>
      <c r="H56" s="12" t="s">
        <v>11</v>
      </c>
      <c r="I56" s="12" t="s">
        <v>16</v>
      </c>
      <c r="J56" s="12" t="s">
        <v>2</v>
      </c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 t="s">
        <v>789</v>
      </c>
      <c r="AK56" s="1" t="s">
        <v>609</v>
      </c>
    </row>
    <row r="57" spans="1:37" ht="16.350000000000001" customHeight="1" x14ac:dyDescent="0.2">
      <c r="A57" s="12" t="s">
        <v>116</v>
      </c>
      <c r="B57" s="12" t="s">
        <v>117</v>
      </c>
      <c r="C57" s="12" t="s">
        <v>118</v>
      </c>
      <c r="D57" s="12" t="s">
        <v>154</v>
      </c>
      <c r="E57" s="12" t="s">
        <v>19</v>
      </c>
      <c r="F57" s="7" t="s">
        <v>609</v>
      </c>
      <c r="G57" s="7" t="s">
        <v>610</v>
      </c>
      <c r="H57" s="12" t="s">
        <v>11</v>
      </c>
      <c r="I57" s="12" t="s">
        <v>16</v>
      </c>
      <c r="J57" s="12" t="s">
        <v>2</v>
      </c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 t="s">
        <v>789</v>
      </c>
      <c r="AK57" s="1" t="s">
        <v>609</v>
      </c>
    </row>
    <row r="58" spans="1:37" ht="16.350000000000001" customHeight="1" x14ac:dyDescent="0.2">
      <c r="A58" s="12" t="s">
        <v>471</v>
      </c>
      <c r="B58" s="12">
        <v>302114510</v>
      </c>
      <c r="C58" s="12" t="s">
        <v>472</v>
      </c>
      <c r="D58" s="12" t="s">
        <v>462</v>
      </c>
      <c r="E58" s="12" t="s">
        <v>425</v>
      </c>
      <c r="F58" s="7" t="s">
        <v>607</v>
      </c>
      <c r="G58" s="7" t="s">
        <v>608</v>
      </c>
      <c r="H58" s="12" t="s">
        <v>11</v>
      </c>
      <c r="I58" s="12" t="s">
        <v>473</v>
      </c>
      <c r="J58" s="12" t="s">
        <v>464</v>
      </c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 t="s">
        <v>789</v>
      </c>
      <c r="AK58" s="1" t="s">
        <v>607</v>
      </c>
    </row>
    <row r="59" spans="1:37" ht="16.350000000000001" customHeight="1" x14ac:dyDescent="0.2">
      <c r="A59" s="12" t="s">
        <v>119</v>
      </c>
      <c r="B59" s="12" t="s">
        <v>120</v>
      </c>
      <c r="C59" s="12" t="s">
        <v>121</v>
      </c>
      <c r="D59" s="12" t="s">
        <v>154</v>
      </c>
      <c r="E59" s="12" t="s">
        <v>19</v>
      </c>
      <c r="F59" s="7" t="s">
        <v>843</v>
      </c>
      <c r="G59" s="7" t="s">
        <v>844</v>
      </c>
      <c r="H59" s="12" t="s">
        <v>11</v>
      </c>
      <c r="I59" s="12" t="s">
        <v>10</v>
      </c>
      <c r="J59" s="12" t="s">
        <v>2</v>
      </c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 t="s">
        <v>789</v>
      </c>
      <c r="AK59" s="1" t="s">
        <v>843</v>
      </c>
    </row>
    <row r="60" spans="1:37" ht="16.350000000000001" customHeight="1" x14ac:dyDescent="0.2">
      <c r="A60" s="12" t="s">
        <v>122</v>
      </c>
      <c r="B60" s="12">
        <v>5268572</v>
      </c>
      <c r="C60" s="12" t="s">
        <v>123</v>
      </c>
      <c r="D60" s="12" t="s">
        <v>154</v>
      </c>
      <c r="E60" s="12" t="s">
        <v>19</v>
      </c>
      <c r="F60" s="7" t="s">
        <v>637</v>
      </c>
      <c r="G60" s="7" t="s">
        <v>638</v>
      </c>
      <c r="H60" s="12" t="s">
        <v>11</v>
      </c>
      <c r="I60" s="12" t="s">
        <v>16</v>
      </c>
      <c r="J60" s="12" t="s">
        <v>2</v>
      </c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 t="s">
        <v>789</v>
      </c>
      <c r="AK60" s="1" t="s">
        <v>637</v>
      </c>
    </row>
    <row r="61" spans="1:37" ht="16.350000000000001" customHeight="1" x14ac:dyDescent="0.2">
      <c r="A61" s="12" t="s">
        <v>124</v>
      </c>
      <c r="B61" s="12">
        <v>1025320</v>
      </c>
      <c r="C61" s="12" t="s">
        <v>125</v>
      </c>
      <c r="D61" s="12" t="s">
        <v>154</v>
      </c>
      <c r="E61" s="12" t="s">
        <v>19</v>
      </c>
      <c r="F61" s="7" t="s">
        <v>653</v>
      </c>
      <c r="G61" s="7" t="s">
        <v>652</v>
      </c>
      <c r="H61" s="12" t="s">
        <v>11</v>
      </c>
      <c r="I61" s="12" t="s">
        <v>16</v>
      </c>
      <c r="J61" s="12" t="s">
        <v>2</v>
      </c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 t="s">
        <v>789</v>
      </c>
      <c r="AK61" s="1" t="s">
        <v>653</v>
      </c>
    </row>
    <row r="62" spans="1:37" ht="16.350000000000001" customHeight="1" x14ac:dyDescent="0.2">
      <c r="A62" s="12" t="s">
        <v>126</v>
      </c>
      <c r="B62" s="12" t="s">
        <v>127</v>
      </c>
      <c r="C62" s="12" t="s">
        <v>128</v>
      </c>
      <c r="D62" s="12" t="s">
        <v>154</v>
      </c>
      <c r="E62" s="12" t="s">
        <v>19</v>
      </c>
      <c r="F62" s="7">
        <v>44599</v>
      </c>
      <c r="G62" s="7" t="s">
        <v>652</v>
      </c>
      <c r="H62" s="12" t="s">
        <v>11</v>
      </c>
      <c r="I62" s="12" t="s">
        <v>16</v>
      </c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 t="s">
        <v>789</v>
      </c>
    </row>
    <row r="63" spans="1:37" ht="16.350000000000001" customHeight="1" x14ac:dyDescent="0.2">
      <c r="A63" s="12" t="s">
        <v>129</v>
      </c>
      <c r="B63" s="12">
        <v>1025271</v>
      </c>
      <c r="C63" s="12" t="s">
        <v>130</v>
      </c>
      <c r="D63" s="12" t="s">
        <v>154</v>
      </c>
      <c r="E63" s="12" t="s">
        <v>19</v>
      </c>
      <c r="F63" s="7" t="s">
        <v>653</v>
      </c>
      <c r="G63" s="7" t="s">
        <v>652</v>
      </c>
      <c r="H63" s="12" t="s">
        <v>11</v>
      </c>
      <c r="I63" s="12" t="s">
        <v>16</v>
      </c>
      <c r="J63" s="12" t="s">
        <v>2</v>
      </c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 t="s">
        <v>789</v>
      </c>
      <c r="AK63" s="1" t="s">
        <v>653</v>
      </c>
    </row>
    <row r="64" spans="1:37" ht="16.350000000000001" customHeight="1" x14ac:dyDescent="0.2">
      <c r="A64" s="12" t="s">
        <v>133</v>
      </c>
      <c r="B64" s="12">
        <v>1025320</v>
      </c>
      <c r="C64" s="12" t="s">
        <v>125</v>
      </c>
      <c r="D64" s="12" t="s">
        <v>154</v>
      </c>
      <c r="E64" s="12" t="s">
        <v>19</v>
      </c>
      <c r="F64" s="7" t="s">
        <v>841</v>
      </c>
      <c r="G64" s="7" t="s">
        <v>842</v>
      </c>
      <c r="H64" s="12" t="s">
        <v>11</v>
      </c>
      <c r="I64" s="12" t="s">
        <v>134</v>
      </c>
      <c r="J64" s="12" t="s">
        <v>751</v>
      </c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 t="s">
        <v>789</v>
      </c>
      <c r="AK64" s="1" t="s">
        <v>841</v>
      </c>
    </row>
    <row r="65" spans="1:37" ht="16.350000000000001" customHeight="1" x14ac:dyDescent="0.2">
      <c r="A65" s="12" t="s">
        <v>135</v>
      </c>
      <c r="B65" s="12">
        <v>1026492</v>
      </c>
      <c r="C65" s="12" t="s">
        <v>136</v>
      </c>
      <c r="D65" s="12" t="s">
        <v>154</v>
      </c>
      <c r="E65" s="12" t="s">
        <v>19</v>
      </c>
      <c r="F65" s="7">
        <v>44249</v>
      </c>
      <c r="G65" s="7">
        <v>44980</v>
      </c>
      <c r="H65" s="12" t="s">
        <v>11</v>
      </c>
      <c r="I65" s="12" t="s">
        <v>20</v>
      </c>
      <c r="J65" s="12" t="s">
        <v>137</v>
      </c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 t="s">
        <v>789</v>
      </c>
    </row>
    <row r="66" spans="1:37" ht="16.350000000000001" customHeight="1" x14ac:dyDescent="0.2">
      <c r="A66" s="12" t="s">
        <v>138</v>
      </c>
      <c r="B66" s="12">
        <v>1026492</v>
      </c>
      <c r="C66" s="12" t="s">
        <v>136</v>
      </c>
      <c r="D66" s="12" t="s">
        <v>154</v>
      </c>
      <c r="E66" s="12" t="s">
        <v>19</v>
      </c>
      <c r="F66" s="7">
        <v>44249</v>
      </c>
      <c r="G66" s="7">
        <v>44980</v>
      </c>
      <c r="H66" s="12" t="s">
        <v>11</v>
      </c>
      <c r="I66" s="12" t="s">
        <v>25</v>
      </c>
      <c r="J66" s="12" t="s">
        <v>137</v>
      </c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 t="s">
        <v>789</v>
      </c>
    </row>
    <row r="67" spans="1:37" ht="16.350000000000001" customHeight="1" x14ac:dyDescent="0.2">
      <c r="A67" s="12" t="s">
        <v>139</v>
      </c>
      <c r="B67" s="12">
        <v>1026492</v>
      </c>
      <c r="C67" s="12" t="s">
        <v>140</v>
      </c>
      <c r="D67" s="12" t="s">
        <v>154</v>
      </c>
      <c r="E67" s="12" t="s">
        <v>19</v>
      </c>
      <c r="F67" s="7">
        <v>44249</v>
      </c>
      <c r="G67" s="7">
        <v>44980</v>
      </c>
      <c r="H67" s="12" t="s">
        <v>11</v>
      </c>
      <c r="I67" s="12" t="s">
        <v>20</v>
      </c>
      <c r="J67" s="12" t="s">
        <v>141</v>
      </c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 t="s">
        <v>789</v>
      </c>
    </row>
    <row r="68" spans="1:37" ht="16.350000000000001" customHeight="1" x14ac:dyDescent="0.2">
      <c r="A68" s="12" t="s">
        <v>142</v>
      </c>
      <c r="B68" s="12">
        <v>1026492</v>
      </c>
      <c r="C68" s="12" t="s">
        <v>140</v>
      </c>
      <c r="D68" s="12" t="s">
        <v>154</v>
      </c>
      <c r="E68" s="12" t="s">
        <v>19</v>
      </c>
      <c r="F68" s="7">
        <v>44249</v>
      </c>
      <c r="G68" s="7">
        <v>44980</v>
      </c>
      <c r="H68" s="12" t="s">
        <v>11</v>
      </c>
      <c r="I68" s="12" t="s">
        <v>25</v>
      </c>
      <c r="J68" s="12" t="s">
        <v>143</v>
      </c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 t="s">
        <v>789</v>
      </c>
    </row>
    <row r="69" spans="1:37" ht="16.350000000000001" customHeight="1" x14ac:dyDescent="0.2">
      <c r="A69" s="12" t="s">
        <v>144</v>
      </c>
      <c r="B69" s="12" t="s">
        <v>145</v>
      </c>
      <c r="C69" s="12" t="s">
        <v>146</v>
      </c>
      <c r="D69" s="12" t="s">
        <v>154</v>
      </c>
      <c r="E69" s="12" t="s">
        <v>19</v>
      </c>
      <c r="F69" s="7">
        <v>44363</v>
      </c>
      <c r="G69" s="7">
        <v>45094</v>
      </c>
      <c r="H69" s="12" t="s">
        <v>11</v>
      </c>
      <c r="I69" s="12" t="s">
        <v>16</v>
      </c>
      <c r="J69" s="12" t="s">
        <v>2</v>
      </c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 t="s">
        <v>789</v>
      </c>
    </row>
    <row r="70" spans="1:37" ht="16.350000000000001" customHeight="1" x14ac:dyDescent="0.2">
      <c r="A70" s="12" t="s">
        <v>147</v>
      </c>
      <c r="B70" s="12" t="s">
        <v>148</v>
      </c>
      <c r="C70" s="12" t="s">
        <v>149</v>
      </c>
      <c r="D70" s="12" t="s">
        <v>154</v>
      </c>
      <c r="E70" s="12" t="s">
        <v>19</v>
      </c>
      <c r="F70" s="7">
        <v>44363</v>
      </c>
      <c r="G70" s="7">
        <v>45093</v>
      </c>
      <c r="H70" s="12" t="s">
        <v>11</v>
      </c>
      <c r="I70" s="12" t="s">
        <v>16</v>
      </c>
      <c r="J70" s="12" t="s">
        <v>2</v>
      </c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 t="s">
        <v>789</v>
      </c>
    </row>
    <row r="71" spans="1:37" ht="16.350000000000001" customHeight="1" x14ac:dyDescent="0.2">
      <c r="A71" s="12" t="s">
        <v>150</v>
      </c>
      <c r="B71" s="12" t="s">
        <v>151</v>
      </c>
      <c r="C71" s="12" t="s">
        <v>152</v>
      </c>
      <c r="D71" s="12" t="s">
        <v>154</v>
      </c>
      <c r="E71" s="12" t="s">
        <v>19</v>
      </c>
      <c r="F71" s="7">
        <v>44363</v>
      </c>
      <c r="G71" s="7">
        <v>45094</v>
      </c>
      <c r="H71" s="12" t="s">
        <v>11</v>
      </c>
      <c r="I71" s="12" t="s">
        <v>16</v>
      </c>
      <c r="J71" s="12" t="s">
        <v>2</v>
      </c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 t="s">
        <v>789</v>
      </c>
    </row>
    <row r="72" spans="1:37" ht="16.350000000000001" customHeight="1" x14ac:dyDescent="0.2">
      <c r="A72" s="12" t="s">
        <v>578</v>
      </c>
      <c r="B72" s="12">
        <v>58900535</v>
      </c>
      <c r="C72" s="12" t="s">
        <v>579</v>
      </c>
      <c r="D72" s="12" t="s">
        <v>580</v>
      </c>
      <c r="E72" s="12" t="s">
        <v>7</v>
      </c>
      <c r="F72" s="7" t="s">
        <v>576</v>
      </c>
      <c r="G72" s="7" t="s">
        <v>577</v>
      </c>
      <c r="H72" s="12" t="s">
        <v>11</v>
      </c>
      <c r="I72" s="12" t="s">
        <v>510</v>
      </c>
      <c r="J72" s="12" t="s">
        <v>2</v>
      </c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 t="s">
        <v>789</v>
      </c>
      <c r="AK72" s="1" t="s">
        <v>576</v>
      </c>
    </row>
    <row r="73" spans="1:37" ht="16.350000000000001" customHeight="1" x14ac:dyDescent="0.2">
      <c r="A73" s="12" t="s">
        <v>583</v>
      </c>
      <c r="B73" s="12" t="s">
        <v>2</v>
      </c>
      <c r="C73" s="12" t="s">
        <v>584</v>
      </c>
      <c r="D73" s="12" t="s">
        <v>580</v>
      </c>
      <c r="E73" s="12" t="s">
        <v>425</v>
      </c>
      <c r="F73" s="7" t="s">
        <v>585</v>
      </c>
      <c r="G73" s="7" t="s">
        <v>586</v>
      </c>
      <c r="H73" s="12" t="s">
        <v>11</v>
      </c>
      <c r="I73" s="12" t="s">
        <v>9</v>
      </c>
      <c r="J73" s="12" t="s">
        <v>2</v>
      </c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 t="s">
        <v>789</v>
      </c>
      <c r="AK73" s="1" t="s">
        <v>585</v>
      </c>
    </row>
    <row r="74" spans="1:37" ht="16.350000000000001" customHeight="1" x14ac:dyDescent="0.2">
      <c r="A74" s="12" t="s">
        <v>611</v>
      </c>
      <c r="B74" s="12">
        <v>58900563</v>
      </c>
      <c r="C74" s="12" t="s">
        <v>612</v>
      </c>
      <c r="D74" s="12" t="s">
        <v>154</v>
      </c>
      <c r="E74" s="12" t="s">
        <v>7</v>
      </c>
      <c r="F74" s="7" t="s">
        <v>613</v>
      </c>
      <c r="G74" s="7" t="s">
        <v>614</v>
      </c>
      <c r="H74" s="12" t="s">
        <v>11</v>
      </c>
      <c r="I74" s="12" t="s">
        <v>10</v>
      </c>
      <c r="J74" s="12" t="s">
        <v>2</v>
      </c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 t="s">
        <v>789</v>
      </c>
      <c r="AK74" s="1" t="s">
        <v>613</v>
      </c>
    </row>
    <row r="75" spans="1:37" ht="16.350000000000001" customHeight="1" x14ac:dyDescent="0.2">
      <c r="A75" s="12" t="s">
        <v>618</v>
      </c>
      <c r="B75" s="12">
        <v>58900526</v>
      </c>
      <c r="C75" s="12" t="s">
        <v>617</v>
      </c>
      <c r="D75" s="12" t="s">
        <v>154</v>
      </c>
      <c r="E75" s="12" t="s">
        <v>7</v>
      </c>
      <c r="F75" s="7">
        <v>44490</v>
      </c>
      <c r="G75" s="7" t="s">
        <v>624</v>
      </c>
      <c r="H75" s="12" t="s">
        <v>11</v>
      </c>
      <c r="I75" s="12" t="s">
        <v>16</v>
      </c>
      <c r="J75" s="12" t="s">
        <v>719</v>
      </c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 t="s">
        <v>789</v>
      </c>
    </row>
    <row r="76" spans="1:37" ht="16.350000000000001" customHeight="1" x14ac:dyDescent="0.2">
      <c r="A76" s="12" t="s">
        <v>675</v>
      </c>
      <c r="B76" s="12">
        <v>1025320</v>
      </c>
      <c r="C76" s="12" t="s">
        <v>676</v>
      </c>
      <c r="D76" s="12" t="s">
        <v>154</v>
      </c>
      <c r="E76" s="12" t="s">
        <v>19</v>
      </c>
      <c r="F76" s="7">
        <v>44733</v>
      </c>
      <c r="G76" s="7" t="s">
        <v>674</v>
      </c>
      <c r="H76" s="12" t="s">
        <v>11</v>
      </c>
      <c r="I76" s="12" t="s">
        <v>20</v>
      </c>
      <c r="J76" s="12" t="s">
        <v>677</v>
      </c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 t="s">
        <v>789</v>
      </c>
    </row>
    <row r="77" spans="1:37" ht="16.350000000000001" customHeight="1" x14ac:dyDescent="0.2">
      <c r="A77" s="12" t="s">
        <v>682</v>
      </c>
      <c r="B77" s="12" t="s">
        <v>33</v>
      </c>
      <c r="C77" s="12" t="s">
        <v>685</v>
      </c>
      <c r="D77" s="12" t="s">
        <v>154</v>
      </c>
      <c r="E77" s="12" t="s">
        <v>19</v>
      </c>
      <c r="F77" s="7">
        <v>44739</v>
      </c>
      <c r="G77" s="7" t="s">
        <v>683</v>
      </c>
      <c r="H77" s="12" t="s">
        <v>11</v>
      </c>
      <c r="I77" s="12" t="s">
        <v>25</v>
      </c>
      <c r="J77" s="12" t="s">
        <v>684</v>
      </c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 t="s">
        <v>789</v>
      </c>
    </row>
    <row r="78" spans="1:37" ht="16.350000000000001" customHeight="1" x14ac:dyDescent="0.2">
      <c r="A78" s="12" t="s">
        <v>14</v>
      </c>
      <c r="B78" s="12">
        <v>58900194</v>
      </c>
      <c r="C78" s="12" t="s">
        <v>15</v>
      </c>
      <c r="D78" s="12" t="s">
        <v>154</v>
      </c>
      <c r="E78" s="12" t="s">
        <v>7</v>
      </c>
      <c r="F78" s="7">
        <v>44264</v>
      </c>
      <c r="G78" s="7">
        <v>44995</v>
      </c>
      <c r="H78" s="12" t="s">
        <v>11</v>
      </c>
      <c r="I78" s="12" t="s">
        <v>16</v>
      </c>
      <c r="J78" s="12" t="s">
        <v>2</v>
      </c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 t="s">
        <v>789</v>
      </c>
    </row>
    <row r="79" spans="1:37" ht="16.350000000000001" customHeight="1" x14ac:dyDescent="0.2">
      <c r="A79" s="12" t="s">
        <v>416</v>
      </c>
      <c r="B79" s="12" t="s">
        <v>417</v>
      </c>
      <c r="C79" s="12" t="s">
        <v>418</v>
      </c>
      <c r="D79" s="12" t="s">
        <v>419</v>
      </c>
      <c r="E79" s="12" t="s">
        <v>425</v>
      </c>
      <c r="F79" s="7">
        <v>44495</v>
      </c>
      <c r="G79" s="7" t="s">
        <v>626</v>
      </c>
      <c r="H79" s="12" t="s">
        <v>632</v>
      </c>
      <c r="I79" s="12" t="s">
        <v>420</v>
      </c>
      <c r="J79" s="12" t="s">
        <v>631</v>
      </c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 t="s">
        <v>789</v>
      </c>
    </row>
    <row r="80" spans="1:37" ht="16.350000000000001" customHeight="1" x14ac:dyDescent="0.2">
      <c r="A80" s="12" t="s">
        <v>615</v>
      </c>
      <c r="B80" s="12" t="s">
        <v>421</v>
      </c>
      <c r="C80" s="12" t="s">
        <v>422</v>
      </c>
      <c r="D80" s="12" t="s">
        <v>419</v>
      </c>
      <c r="E80" s="12" t="s">
        <v>425</v>
      </c>
      <c r="F80" s="7" t="s">
        <v>596</v>
      </c>
      <c r="G80" s="7" t="s">
        <v>720</v>
      </c>
      <c r="H80" s="12" t="s">
        <v>11</v>
      </c>
      <c r="I80" s="12" t="s">
        <v>420</v>
      </c>
      <c r="J80" s="12" t="s">
        <v>597</v>
      </c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 t="s">
        <v>789</v>
      </c>
      <c r="AK80" s="1" t="s">
        <v>596</v>
      </c>
    </row>
    <row r="81" spans="1:39" ht="16.350000000000001" customHeight="1" x14ac:dyDescent="0.2">
      <c r="A81" s="12" t="s">
        <v>603</v>
      </c>
      <c r="B81" s="12" t="s">
        <v>725</v>
      </c>
      <c r="C81" s="12" t="s">
        <v>604</v>
      </c>
      <c r="D81" s="12" t="s">
        <v>605</v>
      </c>
      <c r="E81" s="12" t="s">
        <v>425</v>
      </c>
      <c r="F81" s="7" t="s">
        <v>722</v>
      </c>
      <c r="G81" s="7" t="s">
        <v>724</v>
      </c>
      <c r="H81" s="12" t="s">
        <v>11</v>
      </c>
      <c r="I81" s="12" t="s">
        <v>9</v>
      </c>
      <c r="J81" s="12" t="s">
        <v>2</v>
      </c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 t="s">
        <v>789</v>
      </c>
      <c r="AK81" s="1" t="s">
        <v>722</v>
      </c>
    </row>
    <row r="82" spans="1:39" ht="16.350000000000001" customHeight="1" x14ac:dyDescent="0.2">
      <c r="A82" s="12" t="s">
        <v>526</v>
      </c>
      <c r="B82" s="12" t="s">
        <v>727</v>
      </c>
      <c r="C82" s="12" t="s">
        <v>527</v>
      </c>
      <c r="D82" s="12" t="s">
        <v>528</v>
      </c>
      <c r="E82" s="12" t="s">
        <v>425</v>
      </c>
      <c r="F82" s="7" t="s">
        <v>826</v>
      </c>
      <c r="G82" s="7" t="s">
        <v>728</v>
      </c>
      <c r="H82" s="12" t="s">
        <v>11</v>
      </c>
      <c r="I82" s="12" t="s">
        <v>529</v>
      </c>
      <c r="J82" s="12" t="s">
        <v>2</v>
      </c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 t="s">
        <v>789</v>
      </c>
      <c r="AA82" s="1" t="s">
        <v>827</v>
      </c>
      <c r="AB82" s="1" t="s">
        <v>2</v>
      </c>
      <c r="AC82" s="1" t="s">
        <v>828</v>
      </c>
      <c r="AD82" s="1" t="s">
        <v>2</v>
      </c>
      <c r="AE82" s="1" t="s">
        <v>829</v>
      </c>
      <c r="AF82" s="1" t="s">
        <v>2</v>
      </c>
      <c r="AG82" s="1" t="s">
        <v>830</v>
      </c>
      <c r="AH82" s="1" t="s">
        <v>2</v>
      </c>
      <c r="AI82" s="1" t="s">
        <v>831</v>
      </c>
      <c r="AJ82" s="1" t="s">
        <v>2</v>
      </c>
      <c r="AK82" s="1" t="s">
        <v>826</v>
      </c>
      <c r="AM82" s="9">
        <v>44902.359930555554</v>
      </c>
    </row>
    <row r="83" spans="1:39" ht="16.350000000000001" customHeight="1" x14ac:dyDescent="0.2">
      <c r="A83" s="12" t="s">
        <v>530</v>
      </c>
      <c r="B83" s="12" t="s">
        <v>2</v>
      </c>
      <c r="C83" s="12" t="s">
        <v>531</v>
      </c>
      <c r="D83" s="12" t="s">
        <v>528</v>
      </c>
      <c r="E83" s="12" t="s">
        <v>425</v>
      </c>
      <c r="F83" s="7" t="s">
        <v>664</v>
      </c>
      <c r="G83" s="7" t="s">
        <v>668</v>
      </c>
      <c r="H83" s="12" t="s">
        <v>11</v>
      </c>
      <c r="I83" s="12" t="s">
        <v>10</v>
      </c>
      <c r="J83" s="12" t="s">
        <v>2</v>
      </c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 t="s">
        <v>789</v>
      </c>
      <c r="AA83" s="1" t="s">
        <v>827</v>
      </c>
      <c r="AB83" s="1" t="s">
        <v>2</v>
      </c>
      <c r="AC83" s="1" t="s">
        <v>832</v>
      </c>
      <c r="AD83" s="1" t="s">
        <v>2</v>
      </c>
      <c r="AE83" s="1" t="s">
        <v>828</v>
      </c>
      <c r="AF83" s="1" t="s">
        <v>2</v>
      </c>
      <c r="AG83" s="1" t="s">
        <v>829</v>
      </c>
      <c r="AH83" s="1" t="s">
        <v>2</v>
      </c>
      <c r="AI83" s="1" t="s">
        <v>830</v>
      </c>
      <c r="AJ83" s="1" t="s">
        <v>2</v>
      </c>
      <c r="AK83" s="1" t="s">
        <v>664</v>
      </c>
    </row>
    <row r="84" spans="1:39" ht="16.350000000000001" customHeight="1" x14ac:dyDescent="0.2">
      <c r="A84" s="12" t="s">
        <v>532</v>
      </c>
      <c r="B84" s="12" t="s">
        <v>2</v>
      </c>
      <c r="C84" s="12" t="s">
        <v>533</v>
      </c>
      <c r="D84" s="12" t="s">
        <v>528</v>
      </c>
      <c r="E84" s="12" t="s">
        <v>425</v>
      </c>
      <c r="F84" s="7" t="s">
        <v>673</v>
      </c>
      <c r="G84" s="7" t="s">
        <v>674</v>
      </c>
      <c r="H84" s="12" t="s">
        <v>11</v>
      </c>
      <c r="I84" s="12" t="s">
        <v>521</v>
      </c>
      <c r="J84" s="12" t="s">
        <v>2</v>
      </c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 t="s">
        <v>789</v>
      </c>
      <c r="AA84" s="1" t="s">
        <v>827</v>
      </c>
      <c r="AB84" s="1" t="s">
        <v>2</v>
      </c>
      <c r="AC84" s="1" t="s">
        <v>832</v>
      </c>
      <c r="AD84" s="1" t="s">
        <v>2</v>
      </c>
      <c r="AE84" s="1" t="s">
        <v>829</v>
      </c>
      <c r="AF84" s="1" t="s">
        <v>2</v>
      </c>
      <c r="AG84" s="1" t="s">
        <v>830</v>
      </c>
      <c r="AH84" s="1" t="s">
        <v>2</v>
      </c>
      <c r="AI84" s="1" t="s">
        <v>833</v>
      </c>
      <c r="AJ84" s="1" t="s">
        <v>2</v>
      </c>
      <c r="AK84" s="1" t="s">
        <v>673</v>
      </c>
    </row>
    <row r="85" spans="1:39" ht="16.350000000000001" customHeight="1" x14ac:dyDescent="0.2">
      <c r="A85" s="12" t="s">
        <v>534</v>
      </c>
      <c r="B85" s="12" t="s">
        <v>2</v>
      </c>
      <c r="C85" s="12" t="s">
        <v>535</v>
      </c>
      <c r="D85" s="12" t="s">
        <v>528</v>
      </c>
      <c r="E85" s="12" t="s">
        <v>425</v>
      </c>
      <c r="F85" s="7" t="s">
        <v>673</v>
      </c>
      <c r="G85" s="7" t="s">
        <v>674</v>
      </c>
      <c r="H85" s="12" t="s">
        <v>11</v>
      </c>
      <c r="I85" s="12" t="s">
        <v>536</v>
      </c>
      <c r="J85" s="12" t="s">
        <v>2</v>
      </c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 t="s">
        <v>789</v>
      </c>
      <c r="AA85" s="1" t="s">
        <v>827</v>
      </c>
      <c r="AB85" s="1" t="s">
        <v>2</v>
      </c>
      <c r="AC85" s="1" t="s">
        <v>832</v>
      </c>
      <c r="AD85" s="1" t="s">
        <v>2</v>
      </c>
      <c r="AE85" s="1" t="s">
        <v>828</v>
      </c>
      <c r="AF85" s="1" t="s">
        <v>2</v>
      </c>
      <c r="AG85" s="1" t="s">
        <v>829</v>
      </c>
      <c r="AH85" s="1" t="s">
        <v>2</v>
      </c>
      <c r="AI85" s="1" t="s">
        <v>830</v>
      </c>
      <c r="AJ85" s="1" t="s">
        <v>2</v>
      </c>
      <c r="AK85" s="1" t="s">
        <v>673</v>
      </c>
    </row>
    <row r="86" spans="1:39" ht="16.350000000000001" customHeight="1" x14ac:dyDescent="0.2">
      <c r="A86" s="12" t="s">
        <v>539</v>
      </c>
      <c r="B86" s="12" t="s">
        <v>2</v>
      </c>
      <c r="C86" s="12" t="s">
        <v>540</v>
      </c>
      <c r="D86" s="12" t="s">
        <v>528</v>
      </c>
      <c r="E86" s="12" t="s">
        <v>425</v>
      </c>
      <c r="F86" s="7" t="s">
        <v>673</v>
      </c>
      <c r="G86" s="7" t="s">
        <v>674</v>
      </c>
      <c r="H86" s="12" t="s">
        <v>11</v>
      </c>
      <c r="I86" s="12" t="s">
        <v>536</v>
      </c>
      <c r="J86" s="12" t="s">
        <v>2</v>
      </c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 t="s">
        <v>789</v>
      </c>
      <c r="AA86" s="1" t="s">
        <v>827</v>
      </c>
      <c r="AB86" s="1" t="s">
        <v>2</v>
      </c>
      <c r="AC86" s="1" t="s">
        <v>832</v>
      </c>
      <c r="AD86" s="1" t="s">
        <v>2</v>
      </c>
      <c r="AE86" s="1" t="s">
        <v>828</v>
      </c>
      <c r="AF86" s="1" t="s">
        <v>2</v>
      </c>
      <c r="AG86" s="1" t="s">
        <v>829</v>
      </c>
      <c r="AH86" s="1" t="s">
        <v>2</v>
      </c>
      <c r="AI86" s="1" t="s">
        <v>830</v>
      </c>
      <c r="AJ86" s="1" t="s">
        <v>2</v>
      </c>
      <c r="AK86" s="1" t="s">
        <v>673</v>
      </c>
    </row>
    <row r="87" spans="1:39" ht="16.350000000000001" customHeight="1" x14ac:dyDescent="0.2">
      <c r="A87" s="12" t="s">
        <v>544</v>
      </c>
      <c r="B87" s="12" t="s">
        <v>2</v>
      </c>
      <c r="C87" s="12" t="s">
        <v>545</v>
      </c>
      <c r="D87" s="12" t="s">
        <v>528</v>
      </c>
      <c r="E87" s="12" t="s">
        <v>425</v>
      </c>
      <c r="F87" s="7" t="s">
        <v>653</v>
      </c>
      <c r="G87" s="7" t="s">
        <v>654</v>
      </c>
      <c r="H87" s="12" t="s">
        <v>11</v>
      </c>
      <c r="I87" s="12" t="s">
        <v>546</v>
      </c>
      <c r="J87" s="12" t="s">
        <v>2</v>
      </c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 t="s">
        <v>789</v>
      </c>
      <c r="AA87" s="1" t="s">
        <v>832</v>
      </c>
      <c r="AB87" s="1" t="s">
        <v>2</v>
      </c>
      <c r="AC87" s="1" t="s">
        <v>829</v>
      </c>
      <c r="AD87" s="1" t="s">
        <v>2</v>
      </c>
      <c r="AE87" s="1" t="s">
        <v>830</v>
      </c>
      <c r="AF87" s="1" t="s">
        <v>2</v>
      </c>
      <c r="AG87" s="1" t="s">
        <v>833</v>
      </c>
      <c r="AH87" s="1" t="s">
        <v>2</v>
      </c>
      <c r="AI87" s="1" t="s">
        <v>834</v>
      </c>
      <c r="AJ87" s="1" t="s">
        <v>2</v>
      </c>
      <c r="AK87" s="1" t="s">
        <v>653</v>
      </c>
    </row>
    <row r="88" spans="1:39" ht="16.350000000000001" customHeight="1" x14ac:dyDescent="0.2">
      <c r="A88" s="12" t="s">
        <v>547</v>
      </c>
      <c r="B88" s="12" t="s">
        <v>2</v>
      </c>
      <c r="C88" s="12" t="s">
        <v>548</v>
      </c>
      <c r="D88" s="12" t="s">
        <v>528</v>
      </c>
      <c r="E88" s="12" t="s">
        <v>549</v>
      </c>
      <c r="F88" s="7" t="s">
        <v>660</v>
      </c>
      <c r="G88" s="7" t="s">
        <v>661</v>
      </c>
      <c r="H88" s="12" t="s">
        <v>11</v>
      </c>
      <c r="I88" s="12" t="s">
        <v>549</v>
      </c>
      <c r="J88" s="12" t="s">
        <v>649</v>
      </c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 t="s">
        <v>789</v>
      </c>
      <c r="AA88" s="1" t="s">
        <v>832</v>
      </c>
      <c r="AB88" s="1" t="s">
        <v>2</v>
      </c>
      <c r="AC88" s="1" t="s">
        <v>829</v>
      </c>
      <c r="AD88" s="1" t="s">
        <v>2</v>
      </c>
      <c r="AE88" s="1" t="s">
        <v>830</v>
      </c>
      <c r="AF88" s="1" t="s">
        <v>2</v>
      </c>
      <c r="AG88" s="1" t="s">
        <v>833</v>
      </c>
      <c r="AH88" s="1" t="s">
        <v>2</v>
      </c>
      <c r="AI88" s="1" t="s">
        <v>834</v>
      </c>
      <c r="AJ88" s="1" t="s">
        <v>2</v>
      </c>
      <c r="AK88" s="1" t="s">
        <v>660</v>
      </c>
    </row>
    <row r="89" spans="1:39" ht="16.350000000000001" customHeight="1" x14ac:dyDescent="0.2">
      <c r="A89" s="12" t="s">
        <v>550</v>
      </c>
      <c r="B89" s="12" t="s">
        <v>2</v>
      </c>
      <c r="C89" s="12" t="s">
        <v>551</v>
      </c>
      <c r="D89" s="12" t="s">
        <v>528</v>
      </c>
      <c r="E89" s="12" t="s">
        <v>425</v>
      </c>
      <c r="F89" s="7" t="s">
        <v>835</v>
      </c>
      <c r="G89" s="7" t="s">
        <v>650</v>
      </c>
      <c r="H89" s="12" t="s">
        <v>11</v>
      </c>
      <c r="I89" s="12" t="s">
        <v>456</v>
      </c>
      <c r="J89" s="12" t="s">
        <v>2</v>
      </c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 t="s">
        <v>789</v>
      </c>
      <c r="AA89" s="1" t="s">
        <v>827</v>
      </c>
      <c r="AB89" s="1" t="s">
        <v>2</v>
      </c>
      <c r="AC89" s="1" t="s">
        <v>832</v>
      </c>
      <c r="AD89" s="1" t="s">
        <v>2</v>
      </c>
      <c r="AE89" s="1" t="s">
        <v>828</v>
      </c>
      <c r="AF89" s="1" t="s">
        <v>2</v>
      </c>
      <c r="AG89" s="1" t="s">
        <v>829</v>
      </c>
      <c r="AH89" s="1" t="s">
        <v>2</v>
      </c>
      <c r="AI89" s="1" t="s">
        <v>830</v>
      </c>
      <c r="AJ89" s="1" t="s">
        <v>2</v>
      </c>
      <c r="AK89" s="1" t="s">
        <v>835</v>
      </c>
    </row>
    <row r="90" spans="1:39" ht="16.350000000000001" customHeight="1" x14ac:dyDescent="0.2">
      <c r="A90" s="12" t="s">
        <v>645</v>
      </c>
      <c r="B90" s="12" t="s">
        <v>2</v>
      </c>
      <c r="C90" s="12" t="s">
        <v>646</v>
      </c>
      <c r="D90" s="12" t="s">
        <v>528</v>
      </c>
      <c r="E90" s="12" t="s">
        <v>425</v>
      </c>
      <c r="F90" s="7" t="s">
        <v>647</v>
      </c>
      <c r="G90" s="7" t="s">
        <v>648</v>
      </c>
      <c r="H90" s="12" t="s">
        <v>11</v>
      </c>
      <c r="I90" s="12" t="s">
        <v>20</v>
      </c>
      <c r="J90" s="12" t="s">
        <v>2</v>
      </c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 t="s">
        <v>789</v>
      </c>
      <c r="AA90" s="1" t="s">
        <v>827</v>
      </c>
      <c r="AB90" s="1" t="s">
        <v>2</v>
      </c>
      <c r="AC90" s="1" t="s">
        <v>832</v>
      </c>
      <c r="AD90" s="1" t="s">
        <v>2</v>
      </c>
      <c r="AE90" s="1" t="s">
        <v>828</v>
      </c>
      <c r="AF90" s="1" t="s">
        <v>2</v>
      </c>
      <c r="AG90" s="1" t="s">
        <v>829</v>
      </c>
      <c r="AH90" s="1" t="s">
        <v>2</v>
      </c>
      <c r="AI90" s="1" t="s">
        <v>830</v>
      </c>
      <c r="AJ90" s="1" t="s">
        <v>2</v>
      </c>
      <c r="AK90" s="1" t="s">
        <v>647</v>
      </c>
    </row>
    <row r="91" spans="1:39" ht="16.350000000000001" customHeight="1" x14ac:dyDescent="0.2">
      <c r="A91" s="12" t="s">
        <v>537</v>
      </c>
      <c r="B91" s="12" t="s">
        <v>2</v>
      </c>
      <c r="C91" s="12" t="s">
        <v>538</v>
      </c>
      <c r="D91" s="12" t="s">
        <v>528</v>
      </c>
      <c r="E91" s="12" t="s">
        <v>425</v>
      </c>
      <c r="F91" s="7" t="s">
        <v>656</v>
      </c>
      <c r="G91" s="7" t="s">
        <v>657</v>
      </c>
      <c r="H91" s="12" t="s">
        <v>11</v>
      </c>
      <c r="I91" s="12" t="s">
        <v>536</v>
      </c>
      <c r="J91" s="12" t="s">
        <v>2</v>
      </c>
      <c r="K91" s="12"/>
      <c r="L91" s="12"/>
      <c r="M91" s="12"/>
      <c r="N91" s="12"/>
      <c r="O91" s="12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 t="s">
        <v>789</v>
      </c>
      <c r="AA91" s="1" t="s">
        <v>832</v>
      </c>
      <c r="AB91" s="1" t="s">
        <v>2</v>
      </c>
      <c r="AC91" s="1" t="s">
        <v>829</v>
      </c>
      <c r="AD91" s="1" t="s">
        <v>2</v>
      </c>
      <c r="AE91" s="1" t="s">
        <v>830</v>
      </c>
      <c r="AF91" s="1" t="s">
        <v>2</v>
      </c>
      <c r="AG91" s="1" t="s">
        <v>833</v>
      </c>
      <c r="AH91" s="1" t="s">
        <v>2</v>
      </c>
      <c r="AI91" s="1" t="s">
        <v>834</v>
      </c>
      <c r="AJ91" s="1" t="s">
        <v>2</v>
      </c>
      <c r="AK91" s="1" t="s">
        <v>656</v>
      </c>
    </row>
    <row r="92" spans="1:39" ht="16.350000000000001" hidden="1" customHeight="1" x14ac:dyDescent="0.2">
      <c r="A92" s="12" t="s">
        <v>524</v>
      </c>
      <c r="B92" s="12" t="s">
        <v>2</v>
      </c>
      <c r="C92" s="12" t="s">
        <v>525</v>
      </c>
      <c r="D92" s="12" t="s">
        <v>552</v>
      </c>
      <c r="E92" s="12" t="s">
        <v>425</v>
      </c>
      <c r="F92" s="7" t="s">
        <v>620</v>
      </c>
      <c r="G92" s="7"/>
      <c r="H92" s="12" t="s">
        <v>11</v>
      </c>
      <c r="I92" s="12" t="s">
        <v>420</v>
      </c>
      <c r="J92" s="12" t="s">
        <v>655</v>
      </c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 t="s">
        <v>620</v>
      </c>
      <c r="AA92" s="1" t="s">
        <v>570</v>
      </c>
      <c r="AB92" s="1" t="s">
        <v>570</v>
      </c>
      <c r="AC92" s="1" t="s">
        <v>570</v>
      </c>
      <c r="AD92" s="1" t="s">
        <v>570</v>
      </c>
      <c r="AE92" s="1" t="s">
        <v>570</v>
      </c>
      <c r="AF92" s="1" t="s">
        <v>570</v>
      </c>
      <c r="AG92" s="1" t="s">
        <v>570</v>
      </c>
      <c r="AH92" s="1" t="s">
        <v>570</v>
      </c>
      <c r="AI92" s="1" t="s">
        <v>570</v>
      </c>
      <c r="AJ92" s="1" t="s">
        <v>570</v>
      </c>
      <c r="AK92" s="1" t="s">
        <v>620</v>
      </c>
    </row>
    <row r="93" spans="1:39" ht="16.350000000000001" customHeight="1" x14ac:dyDescent="0.2">
      <c r="A93" s="12" t="s">
        <v>511</v>
      </c>
      <c r="B93" s="12" t="s">
        <v>512</v>
      </c>
      <c r="C93" s="12" t="s">
        <v>513</v>
      </c>
      <c r="D93" s="12" t="s">
        <v>512</v>
      </c>
      <c r="E93" s="12" t="s">
        <v>425</v>
      </c>
      <c r="F93" s="7" t="s">
        <v>662</v>
      </c>
      <c r="G93" s="7" t="s">
        <v>663</v>
      </c>
      <c r="H93" s="12" t="s">
        <v>11</v>
      </c>
      <c r="I93" s="12" t="s">
        <v>9</v>
      </c>
      <c r="J93" s="12" t="s">
        <v>2</v>
      </c>
      <c r="K93" s="12"/>
      <c r="L93" s="12"/>
      <c r="M93" s="12"/>
      <c r="N93" s="12"/>
      <c r="O93" s="12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 t="s">
        <v>789</v>
      </c>
      <c r="AK93" s="1" t="s">
        <v>662</v>
      </c>
    </row>
    <row r="94" spans="1:39" ht="16.350000000000001" hidden="1" customHeight="1" x14ac:dyDescent="0.2">
      <c r="A94" s="12" t="s">
        <v>541</v>
      </c>
      <c r="B94" s="12" t="s">
        <v>2</v>
      </c>
      <c r="C94" s="12" t="s">
        <v>542</v>
      </c>
      <c r="D94" s="12" t="s">
        <v>528</v>
      </c>
      <c r="E94" s="12" t="s">
        <v>425</v>
      </c>
      <c r="F94" s="7" t="s">
        <v>673</v>
      </c>
      <c r="G94" s="7" t="s">
        <v>674</v>
      </c>
      <c r="H94" s="12" t="s">
        <v>11</v>
      </c>
      <c r="I94" s="12" t="s">
        <v>543</v>
      </c>
      <c r="J94" s="12" t="s">
        <v>2</v>
      </c>
      <c r="K94" s="12"/>
      <c r="L94" s="12"/>
      <c r="M94" s="12"/>
      <c r="N94" s="12"/>
      <c r="O94" s="12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 t="s">
        <v>620</v>
      </c>
      <c r="AK94" s="1" t="s">
        <v>673</v>
      </c>
    </row>
    <row r="95" spans="1:39" ht="16.350000000000001" customHeight="1" x14ac:dyDescent="0.2">
      <c r="A95" s="12" t="s">
        <v>478</v>
      </c>
      <c r="B95" s="12">
        <v>161504440</v>
      </c>
      <c r="C95" s="12" t="s">
        <v>475</v>
      </c>
      <c r="D95" s="12" t="s">
        <v>476</v>
      </c>
      <c r="E95" s="12" t="s">
        <v>425</v>
      </c>
      <c r="F95" s="7" t="s">
        <v>622</v>
      </c>
      <c r="G95" s="7" t="s">
        <v>623</v>
      </c>
      <c r="H95" s="12" t="s">
        <v>11</v>
      </c>
      <c r="I95" s="12" t="s">
        <v>134</v>
      </c>
      <c r="J95" s="12" t="s">
        <v>464</v>
      </c>
      <c r="K95" s="12"/>
      <c r="L95" s="12"/>
      <c r="M95" s="12"/>
      <c r="N95" s="12"/>
      <c r="O95" s="12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 t="s">
        <v>789</v>
      </c>
      <c r="AK95" s="1" t="s">
        <v>622</v>
      </c>
    </row>
    <row r="96" spans="1:39" ht="16.350000000000001" customHeight="1" x14ac:dyDescent="0.2">
      <c r="A96" s="12" t="s">
        <v>474</v>
      </c>
      <c r="B96" s="12">
        <v>161504440</v>
      </c>
      <c r="C96" s="12" t="s">
        <v>475</v>
      </c>
      <c r="D96" s="12" t="s">
        <v>476</v>
      </c>
      <c r="E96" s="12" t="s">
        <v>425</v>
      </c>
      <c r="F96" s="7" t="s">
        <v>622</v>
      </c>
      <c r="G96" s="7" t="s">
        <v>623</v>
      </c>
      <c r="H96" s="12" t="s">
        <v>11</v>
      </c>
      <c r="I96" s="12" t="s">
        <v>20</v>
      </c>
      <c r="J96" s="12" t="s">
        <v>464</v>
      </c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 t="s">
        <v>789</v>
      </c>
      <c r="AK96" s="1" t="s">
        <v>622</v>
      </c>
    </row>
    <row r="97" spans="1:37" ht="16.350000000000001" customHeight="1" x14ac:dyDescent="0.2">
      <c r="A97" s="12" t="s">
        <v>477</v>
      </c>
      <c r="B97" s="12">
        <v>161504440</v>
      </c>
      <c r="C97" s="12" t="s">
        <v>475</v>
      </c>
      <c r="D97" s="12" t="s">
        <v>476</v>
      </c>
      <c r="E97" s="12" t="s">
        <v>425</v>
      </c>
      <c r="F97" s="7">
        <v>44489</v>
      </c>
      <c r="G97" s="7" t="s">
        <v>623</v>
      </c>
      <c r="H97" s="12" t="s">
        <v>11</v>
      </c>
      <c r="I97" s="12" t="s">
        <v>20</v>
      </c>
      <c r="J97" s="12" t="s">
        <v>464</v>
      </c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 t="s">
        <v>789</v>
      </c>
    </row>
    <row r="98" spans="1:37" ht="16.350000000000001" customHeight="1" x14ac:dyDescent="0.2">
      <c r="A98" s="12" t="s">
        <v>483</v>
      </c>
      <c r="B98" s="12">
        <v>132104330</v>
      </c>
      <c r="C98" s="12" t="s">
        <v>484</v>
      </c>
      <c r="D98" s="12" t="s">
        <v>476</v>
      </c>
      <c r="E98" s="12" t="s">
        <v>425</v>
      </c>
      <c r="F98" s="7" t="s">
        <v>485</v>
      </c>
      <c r="G98" s="7" t="s">
        <v>486</v>
      </c>
      <c r="H98" s="12" t="s">
        <v>11</v>
      </c>
      <c r="I98" s="12" t="s">
        <v>20</v>
      </c>
      <c r="J98" s="12" t="s">
        <v>487</v>
      </c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 t="s">
        <v>789</v>
      </c>
      <c r="AK98" s="1" t="s">
        <v>485</v>
      </c>
    </row>
    <row r="99" spans="1:37" ht="16.350000000000001" customHeight="1" x14ac:dyDescent="0.2">
      <c r="A99" s="12" t="s">
        <v>488</v>
      </c>
      <c r="B99" s="12">
        <v>161406440</v>
      </c>
      <c r="C99" s="12" t="s">
        <v>489</v>
      </c>
      <c r="D99" s="12" t="s">
        <v>476</v>
      </c>
      <c r="E99" s="12" t="s">
        <v>425</v>
      </c>
      <c r="F99" s="7" t="s">
        <v>490</v>
      </c>
      <c r="G99" s="7" t="s">
        <v>491</v>
      </c>
      <c r="H99" s="12" t="s">
        <v>11</v>
      </c>
      <c r="I99" s="12" t="s">
        <v>16</v>
      </c>
      <c r="J99" s="12" t="s">
        <v>492</v>
      </c>
      <c r="K99" s="12"/>
      <c r="L99" s="12"/>
      <c r="M99" s="12"/>
      <c r="N99" s="12"/>
      <c r="O99" s="12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 t="s">
        <v>789</v>
      </c>
      <c r="AK99" s="1" t="s">
        <v>490</v>
      </c>
    </row>
    <row r="100" spans="1:37" ht="16.350000000000001" customHeight="1" x14ac:dyDescent="0.2">
      <c r="A100" s="12" t="s">
        <v>497</v>
      </c>
      <c r="B100" s="12" t="s">
        <v>790</v>
      </c>
      <c r="C100" s="12" t="s">
        <v>494</v>
      </c>
      <c r="D100" s="12" t="s">
        <v>476</v>
      </c>
      <c r="E100" s="12" t="s">
        <v>425</v>
      </c>
      <c r="F100" s="7" t="s">
        <v>495</v>
      </c>
      <c r="G100" s="7" t="s">
        <v>496</v>
      </c>
      <c r="H100" s="12" t="s">
        <v>11</v>
      </c>
      <c r="I100" s="12" t="s">
        <v>20</v>
      </c>
      <c r="J100" s="12" t="s">
        <v>2</v>
      </c>
      <c r="K100" s="12"/>
      <c r="L100" s="12"/>
      <c r="M100" s="12"/>
      <c r="N100" s="12"/>
      <c r="O100" s="12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 t="s">
        <v>789</v>
      </c>
      <c r="AK100" s="1" t="s">
        <v>495</v>
      </c>
    </row>
    <row r="101" spans="1:37" ht="16.350000000000001" customHeight="1" x14ac:dyDescent="0.2">
      <c r="A101" s="12" t="s">
        <v>498</v>
      </c>
      <c r="B101" s="12">
        <v>161504440</v>
      </c>
      <c r="C101" s="12" t="s">
        <v>499</v>
      </c>
      <c r="D101" s="12" t="s">
        <v>476</v>
      </c>
      <c r="E101" s="12" t="s">
        <v>425</v>
      </c>
      <c r="F101" s="7" t="s">
        <v>495</v>
      </c>
      <c r="G101" s="7" t="s">
        <v>496</v>
      </c>
      <c r="H101" s="12" t="s">
        <v>11</v>
      </c>
      <c r="I101" s="12" t="s">
        <v>16</v>
      </c>
      <c r="J101" s="12" t="s">
        <v>500</v>
      </c>
      <c r="K101" s="12"/>
      <c r="L101" s="12"/>
      <c r="M101" s="12"/>
      <c r="N101" s="12"/>
      <c r="O101" s="12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 t="s">
        <v>789</v>
      </c>
      <c r="AA101" s="1" t="s">
        <v>2</v>
      </c>
      <c r="AB101" s="1" t="s">
        <v>2</v>
      </c>
      <c r="AC101" s="1" t="s">
        <v>2</v>
      </c>
      <c r="AD101" s="1" t="s">
        <v>2</v>
      </c>
      <c r="AE101" s="1" t="s">
        <v>2</v>
      </c>
      <c r="AF101" s="1" t="s">
        <v>2</v>
      </c>
      <c r="AG101" s="1" t="s">
        <v>2</v>
      </c>
      <c r="AH101" s="1" t="s">
        <v>2</v>
      </c>
      <c r="AI101" s="1" t="s">
        <v>2</v>
      </c>
      <c r="AJ101" s="1" t="s">
        <v>2</v>
      </c>
      <c r="AK101" s="1" t="s">
        <v>495</v>
      </c>
    </row>
    <row r="102" spans="1:37" ht="16.350000000000001" customHeight="1" x14ac:dyDescent="0.2">
      <c r="A102" s="12" t="s">
        <v>569</v>
      </c>
      <c r="B102" s="12">
        <v>161406440</v>
      </c>
      <c r="C102" s="12" t="s">
        <v>587</v>
      </c>
      <c r="D102" s="12" t="s">
        <v>476</v>
      </c>
      <c r="E102" s="12" t="s">
        <v>425</v>
      </c>
      <c r="F102" s="7" t="s">
        <v>588</v>
      </c>
      <c r="G102" s="7" t="s">
        <v>590</v>
      </c>
      <c r="H102" s="12" t="s">
        <v>11</v>
      </c>
      <c r="I102" s="12" t="s">
        <v>10</v>
      </c>
      <c r="J102" s="12" t="s">
        <v>589</v>
      </c>
      <c r="K102" s="12"/>
      <c r="L102" s="12"/>
      <c r="M102" s="12"/>
      <c r="N102" s="12"/>
      <c r="O102" s="12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 t="s">
        <v>789</v>
      </c>
      <c r="AA102" s="1" t="s">
        <v>2</v>
      </c>
      <c r="AB102" s="1" t="s">
        <v>2</v>
      </c>
      <c r="AC102" s="1" t="s">
        <v>2</v>
      </c>
      <c r="AD102" s="1" t="s">
        <v>2</v>
      </c>
      <c r="AE102" s="1" t="s">
        <v>2</v>
      </c>
      <c r="AF102" s="1" t="s">
        <v>2</v>
      </c>
      <c r="AG102" s="1" t="s">
        <v>2</v>
      </c>
      <c r="AH102" s="1" t="s">
        <v>2</v>
      </c>
      <c r="AI102" s="1" t="s">
        <v>2</v>
      </c>
      <c r="AJ102" s="1" t="s">
        <v>2</v>
      </c>
      <c r="AK102" s="1" t="s">
        <v>588</v>
      </c>
    </row>
    <row r="103" spans="1:37" ht="16.350000000000001" hidden="1" customHeight="1" x14ac:dyDescent="0.2">
      <c r="A103" s="12" t="s">
        <v>553</v>
      </c>
      <c r="B103" s="12" t="s">
        <v>2</v>
      </c>
      <c r="C103" s="12" t="s">
        <v>554</v>
      </c>
      <c r="D103" s="12" t="s">
        <v>555</v>
      </c>
      <c r="E103" s="12" t="s">
        <v>425</v>
      </c>
      <c r="F103" s="7" t="s">
        <v>620</v>
      </c>
      <c r="G103" s="7"/>
      <c r="H103" s="12" t="s">
        <v>11</v>
      </c>
      <c r="I103" s="12" t="s">
        <v>420</v>
      </c>
      <c r="J103" s="12" t="s">
        <v>620</v>
      </c>
      <c r="K103" s="12"/>
      <c r="L103" s="12"/>
      <c r="M103" s="12"/>
      <c r="N103" s="12"/>
      <c r="O103" s="12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 t="s">
        <v>620</v>
      </c>
      <c r="AK103" s="1" t="s">
        <v>620</v>
      </c>
    </row>
    <row r="104" spans="1:37" ht="16.350000000000001" customHeight="1" x14ac:dyDescent="0.2">
      <c r="A104" s="12" t="s">
        <v>556</v>
      </c>
      <c r="B104" s="12" t="s">
        <v>2</v>
      </c>
      <c r="C104" s="12" t="s">
        <v>2</v>
      </c>
      <c r="D104" s="12" t="s">
        <v>555</v>
      </c>
      <c r="E104" s="12" t="s">
        <v>425</v>
      </c>
      <c r="F104" s="7" t="s">
        <v>841</v>
      </c>
      <c r="G104" s="7" t="s">
        <v>842</v>
      </c>
      <c r="H104" s="12" t="s">
        <v>11</v>
      </c>
      <c r="I104" s="12" t="s">
        <v>420</v>
      </c>
      <c r="J104" s="12" t="s">
        <v>751</v>
      </c>
      <c r="K104" s="12"/>
      <c r="L104" s="12"/>
      <c r="M104" s="12"/>
      <c r="N104" s="12"/>
      <c r="O104" s="12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 t="s">
        <v>789</v>
      </c>
      <c r="AK104" s="1" t="s">
        <v>841</v>
      </c>
    </row>
    <row r="105" spans="1:37" ht="16.350000000000001" hidden="1" customHeight="1" x14ac:dyDescent="0.2">
      <c r="A105" s="12" t="s">
        <v>598</v>
      </c>
      <c r="B105" s="12" t="s">
        <v>599</v>
      </c>
      <c r="C105" s="12" t="s">
        <v>600</v>
      </c>
      <c r="D105" s="12" t="s">
        <v>601</v>
      </c>
      <c r="E105" s="12" t="s">
        <v>425</v>
      </c>
      <c r="F105" s="7" t="s">
        <v>722</v>
      </c>
      <c r="G105" s="7" t="s">
        <v>724</v>
      </c>
      <c r="H105" s="12" t="s">
        <v>11</v>
      </c>
      <c r="I105" s="12" t="s">
        <v>9</v>
      </c>
      <c r="J105" s="12" t="s">
        <v>602</v>
      </c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 t="s">
        <v>620</v>
      </c>
      <c r="AK105" s="1" t="s">
        <v>722</v>
      </c>
    </row>
    <row r="106" spans="1:37" ht="16.350000000000001" customHeight="1" x14ac:dyDescent="0.2">
      <c r="A106" s="12" t="s">
        <v>803</v>
      </c>
      <c r="B106" s="12">
        <v>200030</v>
      </c>
      <c r="C106" s="12" t="s">
        <v>804</v>
      </c>
      <c r="D106" s="12" t="s">
        <v>805</v>
      </c>
      <c r="E106" s="12" t="s">
        <v>806</v>
      </c>
      <c r="F106" s="7">
        <v>44197</v>
      </c>
      <c r="G106" s="7">
        <v>2601259</v>
      </c>
      <c r="H106" s="12" t="s">
        <v>2</v>
      </c>
      <c r="I106" s="12" t="s">
        <v>25</v>
      </c>
      <c r="J106" s="12" t="s">
        <v>807</v>
      </c>
      <c r="K106" s="12"/>
      <c r="L106" s="12"/>
      <c r="M106" s="12"/>
      <c r="N106" s="12"/>
      <c r="O106" s="12"/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 t="s">
        <v>789</v>
      </c>
    </row>
    <row r="107" spans="1:37" ht="16.350000000000001" customHeight="1" x14ac:dyDescent="0.2">
      <c r="A107" s="12" t="s">
        <v>514</v>
      </c>
      <c r="B107" s="12" t="s">
        <v>2</v>
      </c>
      <c r="C107" s="12" t="s">
        <v>515</v>
      </c>
      <c r="D107" s="12" t="s">
        <v>552</v>
      </c>
      <c r="E107" s="12" t="s">
        <v>425</v>
      </c>
      <c r="F107" s="7" t="s">
        <v>658</v>
      </c>
      <c r="G107" s="7" t="s">
        <v>659</v>
      </c>
      <c r="H107" s="12" t="s">
        <v>11</v>
      </c>
      <c r="I107" s="12" t="s">
        <v>420</v>
      </c>
      <c r="J107" s="12" t="s">
        <v>2</v>
      </c>
      <c r="K107" s="12"/>
      <c r="L107" s="12"/>
      <c r="M107" s="12"/>
      <c r="N107" s="12"/>
      <c r="O107" s="12"/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 t="s">
        <v>789</v>
      </c>
      <c r="AK107" s="1" t="s">
        <v>658</v>
      </c>
    </row>
    <row r="108" spans="1:37" ht="16.350000000000001" customHeight="1" x14ac:dyDescent="0.2">
      <c r="A108" s="12" t="s">
        <v>516</v>
      </c>
      <c r="B108" s="12" t="s">
        <v>2</v>
      </c>
      <c r="C108" s="12" t="s">
        <v>517</v>
      </c>
      <c r="D108" s="12" t="s">
        <v>552</v>
      </c>
      <c r="E108" s="12" t="s">
        <v>425</v>
      </c>
      <c r="F108" s="7" t="s">
        <v>669</v>
      </c>
      <c r="G108" s="7" t="s">
        <v>670</v>
      </c>
      <c r="H108" s="12" t="s">
        <v>2</v>
      </c>
      <c r="I108" s="12" t="s">
        <v>10</v>
      </c>
      <c r="J108" s="12" t="s">
        <v>2</v>
      </c>
      <c r="K108" s="12"/>
      <c r="L108" s="12"/>
      <c r="M108" s="12"/>
      <c r="N108" s="12"/>
      <c r="O108" s="12"/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 t="s">
        <v>789</v>
      </c>
      <c r="AK108" s="1" t="s">
        <v>669</v>
      </c>
    </row>
    <row r="109" spans="1:37" ht="16.350000000000001" customHeight="1" x14ac:dyDescent="0.2">
      <c r="A109" s="12" t="s">
        <v>519</v>
      </c>
      <c r="B109" s="12" t="s">
        <v>2</v>
      </c>
      <c r="C109" s="12" t="s">
        <v>520</v>
      </c>
      <c r="D109" s="12" t="s">
        <v>552</v>
      </c>
      <c r="E109" s="12" t="s">
        <v>425</v>
      </c>
      <c r="F109" s="7" t="s">
        <v>678</v>
      </c>
      <c r="G109" s="7" t="s">
        <v>674</v>
      </c>
      <c r="H109" s="12" t="s">
        <v>11</v>
      </c>
      <c r="I109" s="12" t="s">
        <v>521</v>
      </c>
      <c r="J109" s="12" t="s">
        <v>2</v>
      </c>
      <c r="K109" s="12"/>
      <c r="L109" s="12"/>
      <c r="M109" s="12"/>
      <c r="N109" s="12"/>
      <c r="O109" s="12"/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 t="s">
        <v>789</v>
      </c>
      <c r="AK109" s="1" t="s">
        <v>678</v>
      </c>
    </row>
    <row r="110" spans="1:37" ht="16.350000000000001" customHeight="1" x14ac:dyDescent="0.2">
      <c r="A110" s="12" t="s">
        <v>522</v>
      </c>
      <c r="B110" s="12" t="s">
        <v>2</v>
      </c>
      <c r="C110" s="12" t="s">
        <v>523</v>
      </c>
      <c r="D110" s="12" t="s">
        <v>552</v>
      </c>
      <c r="E110" s="12" t="s">
        <v>425</v>
      </c>
      <c r="F110" s="7" t="s">
        <v>666</v>
      </c>
      <c r="G110" s="7" t="s">
        <v>665</v>
      </c>
      <c r="H110" s="12" t="s">
        <v>11</v>
      </c>
      <c r="I110" s="12" t="s">
        <v>10</v>
      </c>
      <c r="J110" s="12" t="s">
        <v>667</v>
      </c>
      <c r="K110" s="12"/>
      <c r="L110" s="12"/>
      <c r="M110" s="12"/>
      <c r="N110" s="12"/>
      <c r="O110" s="12"/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 t="s">
        <v>789</v>
      </c>
      <c r="AK110" s="1" t="s">
        <v>666</v>
      </c>
    </row>
    <row r="111" spans="1:37" ht="16.350000000000001" customHeight="1" x14ac:dyDescent="0.2">
      <c r="A111" s="12" t="s">
        <v>155</v>
      </c>
      <c r="B111" s="12" t="s">
        <v>732</v>
      </c>
      <c r="C111" s="12" t="s">
        <v>156</v>
      </c>
      <c r="D111" s="12" t="s">
        <v>157</v>
      </c>
      <c r="E111" s="12" t="s">
        <v>19</v>
      </c>
      <c r="F111" s="7">
        <v>44827</v>
      </c>
      <c r="G111" s="7" t="s">
        <v>733</v>
      </c>
      <c r="H111" s="12" t="s">
        <v>11</v>
      </c>
      <c r="I111" s="12" t="s">
        <v>10</v>
      </c>
      <c r="J111" s="12" t="s">
        <v>158</v>
      </c>
      <c r="K111" s="12"/>
      <c r="L111" s="12"/>
      <c r="M111" s="12"/>
      <c r="N111" s="12"/>
      <c r="O111" s="12"/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 t="s">
        <v>789</v>
      </c>
    </row>
    <row r="112" spans="1:37" ht="16.350000000000001" customHeight="1" x14ac:dyDescent="0.2">
      <c r="A112" s="12" t="s">
        <v>159</v>
      </c>
      <c r="B112" s="12" t="s">
        <v>46</v>
      </c>
      <c r="C112" s="12" t="s">
        <v>160</v>
      </c>
      <c r="D112" s="12" t="s">
        <v>157</v>
      </c>
      <c r="E112" s="12" t="s">
        <v>19</v>
      </c>
      <c r="F112" s="7" t="s">
        <v>701</v>
      </c>
      <c r="G112" s="7" t="s">
        <v>700</v>
      </c>
      <c r="H112" s="12" t="s">
        <v>11</v>
      </c>
      <c r="I112" s="12" t="s">
        <v>10</v>
      </c>
      <c r="J112" s="12" t="s">
        <v>2</v>
      </c>
      <c r="K112" s="12"/>
      <c r="L112" s="12"/>
      <c r="M112" s="12"/>
      <c r="N112" s="12"/>
      <c r="O112" s="12"/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 t="s">
        <v>789</v>
      </c>
      <c r="AK112" s="1" t="s">
        <v>701</v>
      </c>
    </row>
    <row r="113" spans="1:39" ht="16.350000000000001" customHeight="1" x14ac:dyDescent="0.2">
      <c r="A113" s="12" t="s">
        <v>161</v>
      </c>
      <c r="B113" s="12" t="s">
        <v>43</v>
      </c>
      <c r="C113" s="12" t="s">
        <v>162</v>
      </c>
      <c r="D113" s="12" t="s">
        <v>157</v>
      </c>
      <c r="E113" s="12" t="s">
        <v>19</v>
      </c>
      <c r="F113" s="7" t="s">
        <v>701</v>
      </c>
      <c r="G113" s="7" t="s">
        <v>700</v>
      </c>
      <c r="H113" s="12" t="s">
        <v>11</v>
      </c>
      <c r="I113" s="12" t="s">
        <v>10</v>
      </c>
      <c r="J113" s="12" t="s">
        <v>2</v>
      </c>
      <c r="K113" s="12"/>
      <c r="L113" s="12"/>
      <c r="M113" s="12"/>
      <c r="N113" s="12"/>
      <c r="O113" s="12"/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 t="s">
        <v>789</v>
      </c>
      <c r="AK113" s="1" t="s">
        <v>701</v>
      </c>
    </row>
    <row r="114" spans="1:39" ht="16.350000000000001" customHeight="1" x14ac:dyDescent="0.2">
      <c r="A114" s="12" t="s">
        <v>163</v>
      </c>
      <c r="B114" s="12" t="s">
        <v>59</v>
      </c>
      <c r="C114" s="12" t="s">
        <v>164</v>
      </c>
      <c r="D114" s="12" t="s">
        <v>157</v>
      </c>
      <c r="E114" s="12" t="s">
        <v>19</v>
      </c>
      <c r="F114" s="7" t="s">
        <v>701</v>
      </c>
      <c r="G114" s="7" t="s">
        <v>700</v>
      </c>
      <c r="H114" s="12" t="s">
        <v>11</v>
      </c>
      <c r="I114" s="12" t="s">
        <v>10</v>
      </c>
      <c r="J114" s="12" t="s">
        <v>2</v>
      </c>
      <c r="K114" s="12"/>
      <c r="L114" s="12"/>
      <c r="M114" s="12"/>
      <c r="N114" s="12"/>
      <c r="O114" s="12"/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 t="s">
        <v>789</v>
      </c>
      <c r="AK114" s="1" t="s">
        <v>701</v>
      </c>
    </row>
    <row r="115" spans="1:39" ht="16.350000000000001" customHeight="1" x14ac:dyDescent="0.2">
      <c r="A115" s="12" t="s">
        <v>165</v>
      </c>
      <c r="B115" s="12" t="s">
        <v>22</v>
      </c>
      <c r="C115" s="12" t="s">
        <v>166</v>
      </c>
      <c r="D115" s="12" t="s">
        <v>157</v>
      </c>
      <c r="E115" s="12" t="s">
        <v>19</v>
      </c>
      <c r="F115" s="7" t="s">
        <v>701</v>
      </c>
      <c r="G115" s="7" t="s">
        <v>700</v>
      </c>
      <c r="H115" s="12" t="s">
        <v>11</v>
      </c>
      <c r="I115" s="12" t="s">
        <v>10</v>
      </c>
      <c r="J115" s="12" t="s">
        <v>2</v>
      </c>
      <c r="K115" s="12"/>
      <c r="L115" s="12"/>
      <c r="M115" s="12"/>
      <c r="N115" s="12"/>
      <c r="O115" s="12"/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 t="s">
        <v>789</v>
      </c>
      <c r="AK115" s="1" t="s">
        <v>701</v>
      </c>
    </row>
    <row r="116" spans="1:39" ht="16.350000000000001" customHeight="1" x14ac:dyDescent="0.2">
      <c r="A116" s="12" t="s">
        <v>167</v>
      </c>
      <c r="B116" s="12" t="s">
        <v>168</v>
      </c>
      <c r="C116" s="12" t="s">
        <v>169</v>
      </c>
      <c r="D116" s="12" t="s">
        <v>157</v>
      </c>
      <c r="E116" s="12" t="s">
        <v>170</v>
      </c>
      <c r="F116" s="7">
        <v>44357</v>
      </c>
      <c r="G116" s="7">
        <v>45088</v>
      </c>
      <c r="H116" s="12" t="s">
        <v>11</v>
      </c>
      <c r="I116" s="12" t="s">
        <v>10</v>
      </c>
      <c r="J116" s="12" t="s">
        <v>171</v>
      </c>
      <c r="K116" s="12"/>
      <c r="L116" s="12"/>
      <c r="M116" s="12"/>
      <c r="N116" s="12"/>
      <c r="O116" s="12"/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 t="s">
        <v>789</v>
      </c>
    </row>
    <row r="117" spans="1:39" ht="16.350000000000001" customHeight="1" x14ac:dyDescent="0.2">
      <c r="A117" s="12" t="s">
        <v>172</v>
      </c>
      <c r="B117" s="12" t="s">
        <v>173</v>
      </c>
      <c r="C117" s="12" t="s">
        <v>174</v>
      </c>
      <c r="D117" s="12" t="s">
        <v>157</v>
      </c>
      <c r="E117" s="12" t="s">
        <v>175</v>
      </c>
      <c r="F117" s="7">
        <v>44357</v>
      </c>
      <c r="G117" s="7">
        <v>45088</v>
      </c>
      <c r="H117" s="12" t="s">
        <v>11</v>
      </c>
      <c r="I117" s="12" t="s">
        <v>10</v>
      </c>
      <c r="J117" s="12" t="s">
        <v>176</v>
      </c>
      <c r="K117" s="12"/>
      <c r="L117" s="12"/>
      <c r="M117" s="12"/>
      <c r="N117" s="12"/>
      <c r="O117" s="12"/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 t="s">
        <v>789</v>
      </c>
    </row>
    <row r="118" spans="1:39" ht="16.350000000000001" customHeight="1" x14ac:dyDescent="0.2">
      <c r="A118" s="12" t="s">
        <v>181</v>
      </c>
      <c r="B118" s="12" t="s">
        <v>182</v>
      </c>
      <c r="C118" s="12" t="s">
        <v>183</v>
      </c>
      <c r="D118" s="12" t="s">
        <v>157</v>
      </c>
      <c r="E118" s="12" t="s">
        <v>7</v>
      </c>
      <c r="F118" s="7" t="s">
        <v>809</v>
      </c>
      <c r="G118" s="7" t="s">
        <v>810</v>
      </c>
      <c r="H118" s="12" t="s">
        <v>11</v>
      </c>
      <c r="I118" s="12" t="s">
        <v>10</v>
      </c>
      <c r="J118" s="12" t="s">
        <v>2</v>
      </c>
      <c r="K118" s="12"/>
      <c r="L118" s="12"/>
      <c r="M118" s="12"/>
      <c r="N118" s="12"/>
      <c r="O118" s="12"/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 t="s">
        <v>789</v>
      </c>
      <c r="AA118" s="1" t="s">
        <v>2</v>
      </c>
      <c r="AB118" s="1" t="s">
        <v>2</v>
      </c>
      <c r="AC118" s="1" t="s">
        <v>2</v>
      </c>
      <c r="AD118" s="1" t="s">
        <v>2</v>
      </c>
      <c r="AE118" s="1" t="s">
        <v>2</v>
      </c>
      <c r="AF118" s="1" t="s">
        <v>2</v>
      </c>
      <c r="AG118" s="1" t="s">
        <v>2</v>
      </c>
      <c r="AH118" s="1" t="s">
        <v>2</v>
      </c>
      <c r="AI118" s="1" t="s">
        <v>2</v>
      </c>
      <c r="AJ118" s="1" t="s">
        <v>2</v>
      </c>
      <c r="AK118" s="1" t="s">
        <v>809</v>
      </c>
    </row>
    <row r="119" spans="1:39" ht="16.350000000000001" customHeight="1" x14ac:dyDescent="0.2">
      <c r="A119" s="12" t="s">
        <v>185</v>
      </c>
      <c r="B119" s="12" t="s">
        <v>182</v>
      </c>
      <c r="C119" s="12" t="s">
        <v>183</v>
      </c>
      <c r="D119" s="12" t="s">
        <v>157</v>
      </c>
      <c r="E119" s="12" t="s">
        <v>7</v>
      </c>
      <c r="F119" s="7" t="s">
        <v>809</v>
      </c>
      <c r="G119" s="7" t="s">
        <v>810</v>
      </c>
      <c r="H119" s="12" t="s">
        <v>11</v>
      </c>
      <c r="I119" s="12" t="s">
        <v>16</v>
      </c>
      <c r="J119" s="12" t="s">
        <v>751</v>
      </c>
      <c r="K119" s="12"/>
      <c r="L119" s="12"/>
      <c r="M119" s="12"/>
      <c r="N119" s="12"/>
      <c r="O119" s="12"/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 t="s">
        <v>789</v>
      </c>
      <c r="AK119" s="1" t="s">
        <v>809</v>
      </c>
      <c r="AM119" s="9">
        <v>44901.360613425924</v>
      </c>
    </row>
    <row r="120" spans="1:39" ht="16.350000000000001" customHeight="1" x14ac:dyDescent="0.2">
      <c r="A120" s="12" t="s">
        <v>186</v>
      </c>
      <c r="B120" s="12" t="s">
        <v>187</v>
      </c>
      <c r="C120" s="12" t="s">
        <v>188</v>
      </c>
      <c r="D120" s="12" t="s">
        <v>157</v>
      </c>
      <c r="E120" s="12" t="s">
        <v>170</v>
      </c>
      <c r="F120" s="7" t="s">
        <v>189</v>
      </c>
      <c r="G120" s="7" t="s">
        <v>190</v>
      </c>
      <c r="H120" s="12" t="s">
        <v>11</v>
      </c>
      <c r="I120" s="12" t="s">
        <v>16</v>
      </c>
      <c r="J120" s="12" t="s">
        <v>2</v>
      </c>
      <c r="K120" s="12"/>
      <c r="L120" s="12"/>
      <c r="M120" s="12"/>
      <c r="N120" s="12"/>
      <c r="O120" s="12"/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 t="s">
        <v>789</v>
      </c>
      <c r="AK120" s="1" t="s">
        <v>189</v>
      </c>
    </row>
    <row r="121" spans="1:39" ht="16.350000000000001" customHeight="1" x14ac:dyDescent="0.2">
      <c r="A121" s="12" t="s">
        <v>191</v>
      </c>
      <c r="B121" s="12">
        <v>58900216</v>
      </c>
      <c r="C121" s="12" t="s">
        <v>192</v>
      </c>
      <c r="D121" s="12" t="s">
        <v>157</v>
      </c>
      <c r="E121" s="12" t="s">
        <v>7</v>
      </c>
      <c r="F121" s="7" t="s">
        <v>664</v>
      </c>
      <c r="G121" s="7" t="s">
        <v>665</v>
      </c>
      <c r="H121" s="12" t="s">
        <v>11</v>
      </c>
      <c r="I121" s="12" t="s">
        <v>16</v>
      </c>
      <c r="J121" s="12" t="s">
        <v>193</v>
      </c>
      <c r="K121" s="12"/>
      <c r="L121" s="12"/>
      <c r="M121" s="12"/>
      <c r="N121" s="12"/>
      <c r="O121" s="12"/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 t="s">
        <v>789</v>
      </c>
      <c r="AK121" s="1" t="s">
        <v>664</v>
      </c>
    </row>
    <row r="122" spans="1:39" ht="16.350000000000001" customHeight="1" x14ac:dyDescent="0.2">
      <c r="A122" s="12" t="s">
        <v>197</v>
      </c>
      <c r="B122" s="12" t="s">
        <v>839</v>
      </c>
      <c r="C122" s="12" t="s">
        <v>192</v>
      </c>
      <c r="D122" s="12" t="s">
        <v>157</v>
      </c>
      <c r="E122" s="12" t="s">
        <v>7</v>
      </c>
      <c r="F122" s="7" t="s">
        <v>809</v>
      </c>
      <c r="G122" s="7" t="s">
        <v>810</v>
      </c>
      <c r="H122" s="12" t="s">
        <v>11</v>
      </c>
      <c r="I122" s="12" t="s">
        <v>10</v>
      </c>
      <c r="J122" s="12" t="s">
        <v>840</v>
      </c>
      <c r="K122" s="12"/>
      <c r="L122" s="12"/>
      <c r="M122" s="12"/>
      <c r="N122" s="12"/>
      <c r="O122" s="12"/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 t="s">
        <v>789</v>
      </c>
      <c r="AA122" s="1" t="s">
        <v>2</v>
      </c>
      <c r="AB122" s="1" t="s">
        <v>2</v>
      </c>
      <c r="AC122" s="1" t="s">
        <v>2</v>
      </c>
      <c r="AD122" s="1" t="s">
        <v>2</v>
      </c>
      <c r="AE122" s="1" t="s">
        <v>2</v>
      </c>
      <c r="AF122" s="1" t="s">
        <v>2</v>
      </c>
      <c r="AG122" s="1" t="s">
        <v>2</v>
      </c>
      <c r="AH122" s="1" t="s">
        <v>2</v>
      </c>
      <c r="AI122" s="1" t="s">
        <v>2</v>
      </c>
      <c r="AJ122" s="1" t="s">
        <v>2</v>
      </c>
      <c r="AK122" s="1" t="s">
        <v>809</v>
      </c>
    </row>
    <row r="123" spans="1:39" ht="16.350000000000001" customHeight="1" x14ac:dyDescent="0.2">
      <c r="A123" s="12" t="s">
        <v>198</v>
      </c>
      <c r="B123" s="12" t="s">
        <v>199</v>
      </c>
      <c r="C123" s="12" t="s">
        <v>200</v>
      </c>
      <c r="D123" s="12" t="s">
        <v>157</v>
      </c>
      <c r="E123" s="12" t="s">
        <v>19</v>
      </c>
      <c r="F123" s="7" t="s">
        <v>746</v>
      </c>
      <c r="G123" s="7" t="s">
        <v>745</v>
      </c>
      <c r="H123" s="12" t="s">
        <v>11</v>
      </c>
      <c r="I123" s="12" t="s">
        <v>16</v>
      </c>
      <c r="J123" s="12" t="s">
        <v>2</v>
      </c>
      <c r="K123" s="12"/>
      <c r="L123" s="12"/>
      <c r="M123" s="12"/>
      <c r="N123" s="12"/>
      <c r="O123" s="12"/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 t="s">
        <v>789</v>
      </c>
      <c r="AK123" s="1" t="s">
        <v>746</v>
      </c>
    </row>
    <row r="124" spans="1:39" ht="16.350000000000001" customHeight="1" x14ac:dyDescent="0.2">
      <c r="A124" s="12" t="s">
        <v>201</v>
      </c>
      <c r="B124" s="12" t="s">
        <v>202</v>
      </c>
      <c r="C124" s="12" t="s">
        <v>203</v>
      </c>
      <c r="D124" s="12" t="s">
        <v>157</v>
      </c>
      <c r="E124" s="12" t="s">
        <v>19</v>
      </c>
      <c r="F124" s="7" t="s">
        <v>746</v>
      </c>
      <c r="G124" s="7" t="s">
        <v>745</v>
      </c>
      <c r="H124" s="12" t="s">
        <v>11</v>
      </c>
      <c r="I124" s="12" t="s">
        <v>16</v>
      </c>
      <c r="J124" s="12" t="s">
        <v>2</v>
      </c>
      <c r="K124" s="12"/>
      <c r="L124" s="12"/>
      <c r="M124" s="12"/>
      <c r="N124" s="12"/>
      <c r="O124" s="12"/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 t="s">
        <v>789</v>
      </c>
      <c r="AK124" s="1" t="s">
        <v>746</v>
      </c>
    </row>
    <row r="125" spans="1:39" ht="16.350000000000001" customHeight="1" x14ac:dyDescent="0.2">
      <c r="A125" s="12" t="s">
        <v>204</v>
      </c>
      <c r="B125" s="12" t="s">
        <v>205</v>
      </c>
      <c r="C125" s="12" t="s">
        <v>206</v>
      </c>
      <c r="D125" s="12" t="s">
        <v>157</v>
      </c>
      <c r="E125" s="12" t="s">
        <v>230</v>
      </c>
      <c r="F125" s="7" t="s">
        <v>809</v>
      </c>
      <c r="G125" s="7" t="s">
        <v>810</v>
      </c>
      <c r="H125" s="12" t="s">
        <v>11</v>
      </c>
      <c r="I125" s="12" t="s">
        <v>16</v>
      </c>
      <c r="J125" s="12" t="s">
        <v>751</v>
      </c>
      <c r="K125" s="12"/>
      <c r="L125" s="12"/>
      <c r="M125" s="12"/>
      <c r="N125" s="12"/>
      <c r="O125" s="12"/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 t="s">
        <v>789</v>
      </c>
      <c r="AK125" s="1" t="s">
        <v>809</v>
      </c>
      <c r="AM125" s="9">
        <v>44901.360798611109</v>
      </c>
    </row>
    <row r="126" spans="1:39" ht="16.350000000000001" customHeight="1" x14ac:dyDescent="0.2">
      <c r="A126" s="12" t="s">
        <v>207</v>
      </c>
      <c r="B126" s="12" t="s">
        <v>755</v>
      </c>
      <c r="C126" s="12" t="s">
        <v>243</v>
      </c>
      <c r="D126" s="12" t="s">
        <v>157</v>
      </c>
      <c r="E126" s="12" t="s">
        <v>231</v>
      </c>
      <c r="F126" s="7" t="s">
        <v>757</v>
      </c>
      <c r="G126" s="7" t="s">
        <v>756</v>
      </c>
      <c r="H126" s="12" t="s">
        <v>11</v>
      </c>
      <c r="I126" s="12" t="s">
        <v>20</v>
      </c>
      <c r="J126" s="12" t="s">
        <v>2</v>
      </c>
      <c r="K126" s="12"/>
      <c r="L126" s="12"/>
      <c r="M126" s="12"/>
      <c r="N126" s="12"/>
      <c r="O126" s="12"/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 t="s">
        <v>789</v>
      </c>
      <c r="AK126" s="1" t="s">
        <v>757</v>
      </c>
    </row>
    <row r="127" spans="1:39" ht="16.350000000000001" customHeight="1" x14ac:dyDescent="0.2">
      <c r="A127" s="12" t="s">
        <v>209</v>
      </c>
      <c r="B127" s="12" t="s">
        <v>242</v>
      </c>
      <c r="C127" s="12" t="s">
        <v>245</v>
      </c>
      <c r="D127" s="12" t="s">
        <v>157</v>
      </c>
      <c r="E127" s="12" t="s">
        <v>231</v>
      </c>
      <c r="F127" s="7" t="s">
        <v>702</v>
      </c>
      <c r="G127" s="7" t="s">
        <v>703</v>
      </c>
      <c r="H127" s="12" t="s">
        <v>11</v>
      </c>
      <c r="I127" s="12" t="s">
        <v>16</v>
      </c>
      <c r="J127" s="12" t="s">
        <v>241</v>
      </c>
      <c r="K127" s="12"/>
      <c r="L127" s="12"/>
      <c r="M127" s="12"/>
      <c r="N127" s="12"/>
      <c r="O127" s="12"/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 t="s">
        <v>789</v>
      </c>
      <c r="AK127" s="1" t="s">
        <v>702</v>
      </c>
    </row>
    <row r="128" spans="1:39" ht="16.350000000000001" customHeight="1" x14ac:dyDescent="0.2">
      <c r="A128" s="12" t="s">
        <v>210</v>
      </c>
      <c r="B128" s="12" t="s">
        <v>240</v>
      </c>
      <c r="C128" s="12" t="s">
        <v>246</v>
      </c>
      <c r="D128" s="12" t="s">
        <v>157</v>
      </c>
      <c r="E128" s="12" t="s">
        <v>231</v>
      </c>
      <c r="F128" s="7" t="s">
        <v>702</v>
      </c>
      <c r="G128" s="7" t="s">
        <v>703</v>
      </c>
      <c r="H128" s="12" t="s">
        <v>11</v>
      </c>
      <c r="I128" s="12" t="s">
        <v>16</v>
      </c>
      <c r="J128" s="12" t="s">
        <v>239</v>
      </c>
      <c r="K128" s="12"/>
      <c r="L128" s="12"/>
      <c r="M128" s="12"/>
      <c r="N128" s="12"/>
      <c r="O128" s="12"/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 t="s">
        <v>789</v>
      </c>
      <c r="AK128" s="1" t="s">
        <v>702</v>
      </c>
    </row>
    <row r="129" spans="1:37" ht="16.350000000000001" customHeight="1" x14ac:dyDescent="0.2">
      <c r="A129" s="12" t="s">
        <v>211</v>
      </c>
      <c r="B129" s="12" t="s">
        <v>212</v>
      </c>
      <c r="C129" s="12" t="s">
        <v>247</v>
      </c>
      <c r="D129" s="12" t="s">
        <v>157</v>
      </c>
      <c r="E129" s="12" t="s">
        <v>231</v>
      </c>
      <c r="F129" s="7" t="s">
        <v>706</v>
      </c>
      <c r="G129" s="7" t="s">
        <v>707</v>
      </c>
      <c r="H129" s="12" t="s">
        <v>11</v>
      </c>
      <c r="I129" s="12" t="s">
        <v>16</v>
      </c>
      <c r="J129" s="12" t="s">
        <v>2</v>
      </c>
      <c r="K129" s="12"/>
      <c r="L129" s="12"/>
      <c r="M129" s="12"/>
      <c r="N129" s="12"/>
      <c r="O129" s="12"/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 t="s">
        <v>789</v>
      </c>
      <c r="AK129" s="1" t="s">
        <v>706</v>
      </c>
    </row>
    <row r="130" spans="1:37" ht="16.350000000000001" customHeight="1" x14ac:dyDescent="0.2">
      <c r="A130" s="12" t="s">
        <v>213</v>
      </c>
      <c r="B130" s="12" t="s">
        <v>214</v>
      </c>
      <c r="C130" s="12" t="s">
        <v>248</v>
      </c>
      <c r="D130" s="12" t="s">
        <v>157</v>
      </c>
      <c r="E130" s="12" t="s">
        <v>231</v>
      </c>
      <c r="F130" s="7">
        <v>44300</v>
      </c>
      <c r="G130" s="7">
        <f>F130+731</f>
        <v>45031</v>
      </c>
      <c r="H130" s="12" t="s">
        <v>11</v>
      </c>
      <c r="I130" s="12" t="s">
        <v>16</v>
      </c>
      <c r="J130" s="12"/>
      <c r="K130" s="12"/>
      <c r="L130" s="12"/>
      <c r="M130" s="12"/>
      <c r="N130" s="12"/>
      <c r="O130" s="12"/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 t="s">
        <v>789</v>
      </c>
    </row>
    <row r="131" spans="1:37" ht="16.350000000000001" customHeight="1" x14ac:dyDescent="0.2">
      <c r="A131" s="12" t="s">
        <v>216</v>
      </c>
      <c r="B131" s="12" t="s">
        <v>237</v>
      </c>
      <c r="C131" s="12" t="s">
        <v>217</v>
      </c>
      <c r="D131" s="12" t="s">
        <v>157</v>
      </c>
      <c r="E131" s="12" t="s">
        <v>231</v>
      </c>
      <c r="F131" s="7">
        <v>44300</v>
      </c>
      <c r="G131" s="7">
        <f>F131+731</f>
        <v>45031</v>
      </c>
      <c r="H131" s="12" t="s">
        <v>11</v>
      </c>
      <c r="I131" s="12" t="s">
        <v>16</v>
      </c>
      <c r="J131" s="12" t="s">
        <v>236</v>
      </c>
      <c r="K131" s="12"/>
      <c r="L131" s="12"/>
      <c r="M131" s="12"/>
      <c r="N131" s="12"/>
      <c r="O131" s="12"/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 t="s">
        <v>789</v>
      </c>
    </row>
    <row r="132" spans="1:37" ht="16.350000000000001" customHeight="1" x14ac:dyDescent="0.2">
      <c r="A132" s="12" t="s">
        <v>218</v>
      </c>
      <c r="B132" s="12" t="s">
        <v>235</v>
      </c>
      <c r="C132" s="12" t="s">
        <v>219</v>
      </c>
      <c r="D132" s="12" t="s">
        <v>157</v>
      </c>
      <c r="E132" s="12" t="s">
        <v>231</v>
      </c>
      <c r="F132" s="7" t="s">
        <v>448</v>
      </c>
      <c r="G132" s="7" t="s">
        <v>721</v>
      </c>
      <c r="H132" s="12" t="s">
        <v>11</v>
      </c>
      <c r="I132" s="12" t="s">
        <v>10</v>
      </c>
      <c r="J132" s="12" t="s">
        <v>734</v>
      </c>
      <c r="K132" s="12"/>
      <c r="L132" s="12"/>
      <c r="M132" s="12"/>
      <c r="N132" s="12"/>
      <c r="O132" s="12"/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 t="s">
        <v>789</v>
      </c>
      <c r="AK132" s="1" t="s">
        <v>448</v>
      </c>
    </row>
    <row r="133" spans="1:37" ht="16.350000000000001" customHeight="1" x14ac:dyDescent="0.2">
      <c r="A133" s="12" t="s">
        <v>220</v>
      </c>
      <c r="B133" s="12" t="s">
        <v>233</v>
      </c>
      <c r="C133" s="12" t="s">
        <v>250</v>
      </c>
      <c r="D133" s="12" t="s">
        <v>157</v>
      </c>
      <c r="E133" s="12" t="s">
        <v>231</v>
      </c>
      <c r="F133" s="7" t="s">
        <v>702</v>
      </c>
      <c r="G133" s="7" t="s">
        <v>703</v>
      </c>
      <c r="H133" s="12" t="s">
        <v>11</v>
      </c>
      <c r="I133" s="12" t="s">
        <v>16</v>
      </c>
      <c r="J133" s="12" t="s">
        <v>2</v>
      </c>
      <c r="K133" s="12"/>
      <c r="L133" s="12"/>
      <c r="M133" s="12"/>
      <c r="N133" s="12"/>
      <c r="O133" s="12"/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 t="s">
        <v>789</v>
      </c>
      <c r="AK133" s="1" t="s">
        <v>702</v>
      </c>
    </row>
    <row r="134" spans="1:37" ht="16.350000000000001" customHeight="1" x14ac:dyDescent="0.2">
      <c r="A134" s="12" t="s">
        <v>223</v>
      </c>
      <c r="B134" s="12" t="s">
        <v>67</v>
      </c>
      <c r="C134" s="12" t="s">
        <v>251</v>
      </c>
      <c r="D134" s="12" t="s">
        <v>157</v>
      </c>
      <c r="E134" s="12" t="s">
        <v>19</v>
      </c>
      <c r="F134" s="7" t="s">
        <v>448</v>
      </c>
      <c r="G134" s="7" t="s">
        <v>721</v>
      </c>
      <c r="H134" s="12" t="s">
        <v>11</v>
      </c>
      <c r="I134" s="12" t="s">
        <v>10</v>
      </c>
      <c r="J134" s="12" t="s">
        <v>2</v>
      </c>
      <c r="K134" s="12"/>
      <c r="L134" s="12"/>
      <c r="M134" s="12"/>
      <c r="N134" s="12"/>
      <c r="O134" s="12"/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 t="s">
        <v>789</v>
      </c>
      <c r="AK134" s="1" t="s">
        <v>448</v>
      </c>
    </row>
    <row r="135" spans="1:37" ht="16.350000000000001" customHeight="1" x14ac:dyDescent="0.2">
      <c r="A135" s="12" t="s">
        <v>224</v>
      </c>
      <c r="B135" s="12">
        <v>1021870</v>
      </c>
      <c r="C135" s="12" t="s">
        <v>252</v>
      </c>
      <c r="D135" s="12" t="s">
        <v>157</v>
      </c>
      <c r="E135" s="12" t="s">
        <v>231</v>
      </c>
      <c r="F135" s="7">
        <v>44250</v>
      </c>
      <c r="G135" s="7">
        <f>F135+731</f>
        <v>44981</v>
      </c>
      <c r="H135" s="12" t="s">
        <v>11</v>
      </c>
      <c r="I135" s="12" t="s">
        <v>16</v>
      </c>
      <c r="J135" s="12"/>
      <c r="K135" s="12"/>
      <c r="L135" s="12"/>
      <c r="M135" s="12"/>
      <c r="N135" s="12"/>
      <c r="O135" s="12"/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 t="s">
        <v>789</v>
      </c>
    </row>
    <row r="136" spans="1:37" ht="16.350000000000001" customHeight="1" x14ac:dyDescent="0.2">
      <c r="A136" s="12" t="s">
        <v>225</v>
      </c>
      <c r="B136" s="12">
        <v>1021870</v>
      </c>
      <c r="C136" s="12" t="s">
        <v>252</v>
      </c>
      <c r="D136" s="12" t="s">
        <v>157</v>
      </c>
      <c r="E136" s="12" t="s">
        <v>231</v>
      </c>
      <c r="F136" s="7">
        <v>44250</v>
      </c>
      <c r="G136" s="7">
        <f>F136+731</f>
        <v>44981</v>
      </c>
      <c r="H136" s="12" t="s">
        <v>11</v>
      </c>
      <c r="I136" s="12" t="s">
        <v>10</v>
      </c>
      <c r="J136" s="12"/>
      <c r="K136" s="12"/>
      <c r="L136" s="12"/>
      <c r="M136" s="12"/>
      <c r="N136" s="12"/>
      <c r="O136" s="12"/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 t="s">
        <v>789</v>
      </c>
    </row>
    <row r="137" spans="1:37" ht="16.350000000000001" customHeight="1" x14ac:dyDescent="0.2">
      <c r="A137" s="12" t="s">
        <v>226</v>
      </c>
      <c r="B137" s="12" t="s">
        <v>234</v>
      </c>
      <c r="C137" s="12" t="s">
        <v>227</v>
      </c>
      <c r="D137" s="12" t="s">
        <v>157</v>
      </c>
      <c r="E137" s="12" t="s">
        <v>231</v>
      </c>
      <c r="F137" s="7" t="s">
        <v>448</v>
      </c>
      <c r="G137" s="7" t="s">
        <v>721</v>
      </c>
      <c r="H137" s="12" t="s">
        <v>11</v>
      </c>
      <c r="I137" s="12" t="s">
        <v>10</v>
      </c>
      <c r="J137" s="12" t="s">
        <v>726</v>
      </c>
      <c r="K137" s="12"/>
      <c r="L137" s="12"/>
      <c r="M137" s="12"/>
      <c r="N137" s="12"/>
      <c r="O137" s="12"/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 t="s">
        <v>789</v>
      </c>
      <c r="AK137" s="1" t="s">
        <v>448</v>
      </c>
    </row>
    <row r="138" spans="1:37" ht="16.350000000000001" hidden="1" customHeight="1" x14ac:dyDescent="0.2">
      <c r="A138" s="12" t="s">
        <v>177</v>
      </c>
      <c r="B138" s="12" t="s">
        <v>178</v>
      </c>
      <c r="C138" s="12" t="s">
        <v>179</v>
      </c>
      <c r="D138" s="12" t="s">
        <v>157</v>
      </c>
      <c r="E138" s="12" t="s">
        <v>170</v>
      </c>
      <c r="F138" s="7" t="s">
        <v>666</v>
      </c>
      <c r="G138" s="7" t="s">
        <v>665</v>
      </c>
      <c r="H138" s="12" t="s">
        <v>11</v>
      </c>
      <c r="I138" s="12" t="s">
        <v>16</v>
      </c>
      <c r="J138" s="12" t="s">
        <v>180</v>
      </c>
      <c r="K138" s="12"/>
      <c r="L138" s="12"/>
      <c r="M138" s="12"/>
      <c r="N138" s="12"/>
      <c r="O138" s="12"/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 t="s">
        <v>619</v>
      </c>
      <c r="AK138" s="1" t="s">
        <v>666</v>
      </c>
    </row>
    <row r="139" spans="1:37" ht="16.350000000000001" customHeight="1" x14ac:dyDescent="0.2">
      <c r="A139" s="12" t="s">
        <v>228</v>
      </c>
      <c r="B139" s="12" t="s">
        <v>234</v>
      </c>
      <c r="C139" s="12" t="s">
        <v>227</v>
      </c>
      <c r="D139" s="12" t="s">
        <v>157</v>
      </c>
      <c r="E139" s="12" t="s">
        <v>231</v>
      </c>
      <c r="F139" s="7" t="s">
        <v>448</v>
      </c>
      <c r="G139" s="7" t="s">
        <v>721</v>
      </c>
      <c r="H139" s="12" t="s">
        <v>11</v>
      </c>
      <c r="I139" s="12" t="s">
        <v>10</v>
      </c>
      <c r="J139" s="12" t="s">
        <v>726</v>
      </c>
      <c r="K139" s="12"/>
      <c r="L139" s="12"/>
      <c r="M139" s="12"/>
      <c r="N139" s="12"/>
      <c r="O139" s="12"/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 t="s">
        <v>789</v>
      </c>
      <c r="AK139" s="1" t="s">
        <v>448</v>
      </c>
    </row>
    <row r="140" spans="1:37" ht="16.350000000000001" customHeight="1" x14ac:dyDescent="0.2">
      <c r="A140" s="12" t="s">
        <v>229</v>
      </c>
      <c r="B140" s="12" t="s">
        <v>233</v>
      </c>
      <c r="C140" s="12" t="s">
        <v>253</v>
      </c>
      <c r="D140" s="12" t="s">
        <v>157</v>
      </c>
      <c r="E140" s="12" t="s">
        <v>231</v>
      </c>
      <c r="F140" s="7" t="s">
        <v>701</v>
      </c>
      <c r="G140" s="7" t="s">
        <v>700</v>
      </c>
      <c r="H140" s="12" t="s">
        <v>11</v>
      </c>
      <c r="I140" s="12" t="s">
        <v>10</v>
      </c>
      <c r="J140" s="12" t="s">
        <v>2</v>
      </c>
      <c r="K140" s="12"/>
      <c r="L140" s="12"/>
      <c r="M140" s="12"/>
      <c r="N140" s="12"/>
      <c r="O140" s="12"/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 t="s">
        <v>789</v>
      </c>
      <c r="AK140" s="1" t="s">
        <v>701</v>
      </c>
    </row>
    <row r="141" spans="1:37" ht="16.350000000000001" customHeight="1" x14ac:dyDescent="0.2">
      <c r="A141" s="12" t="s">
        <v>254</v>
      </c>
      <c r="B141" s="12" t="s">
        <v>233</v>
      </c>
      <c r="C141" s="12" t="s">
        <v>253</v>
      </c>
      <c r="D141" s="12" t="s">
        <v>157</v>
      </c>
      <c r="E141" s="12" t="s">
        <v>231</v>
      </c>
      <c r="F141" s="7" t="s">
        <v>701</v>
      </c>
      <c r="G141" s="7" t="s">
        <v>700</v>
      </c>
      <c r="H141" s="12" t="s">
        <v>11</v>
      </c>
      <c r="I141" s="12" t="s">
        <v>10</v>
      </c>
      <c r="J141" s="12" t="s">
        <v>2</v>
      </c>
      <c r="K141" s="12"/>
      <c r="L141" s="12"/>
      <c r="M141" s="12"/>
      <c r="N141" s="12"/>
      <c r="O141" s="12"/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 t="s">
        <v>789</v>
      </c>
      <c r="AK141" s="1" t="s">
        <v>701</v>
      </c>
    </row>
    <row r="142" spans="1:37" ht="16.350000000000001" customHeight="1" x14ac:dyDescent="0.2">
      <c r="A142" s="12" t="s">
        <v>255</v>
      </c>
      <c r="B142" s="12" t="s">
        <v>233</v>
      </c>
      <c r="C142" s="12" t="s">
        <v>253</v>
      </c>
      <c r="D142" s="12" t="s">
        <v>157</v>
      </c>
      <c r="E142" s="12" t="s">
        <v>231</v>
      </c>
      <c r="F142" s="7" t="s">
        <v>701</v>
      </c>
      <c r="G142" s="7" t="s">
        <v>700</v>
      </c>
      <c r="H142" s="12" t="s">
        <v>11</v>
      </c>
      <c r="I142" s="12" t="s">
        <v>10</v>
      </c>
      <c r="J142" s="12" t="s">
        <v>2</v>
      </c>
      <c r="K142" s="12"/>
      <c r="L142" s="12"/>
      <c r="M142" s="12"/>
      <c r="N142" s="12"/>
      <c r="O142" s="12"/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 t="s">
        <v>789</v>
      </c>
      <c r="AK142" s="1" t="s">
        <v>701</v>
      </c>
    </row>
    <row r="143" spans="1:37" ht="16.350000000000001" customHeight="1" x14ac:dyDescent="0.2">
      <c r="A143" s="12" t="s">
        <v>256</v>
      </c>
      <c r="B143" s="12" t="s">
        <v>234</v>
      </c>
      <c r="C143" s="12" t="s">
        <v>393</v>
      </c>
      <c r="D143" s="12" t="s">
        <v>157</v>
      </c>
      <c r="E143" s="12" t="s">
        <v>231</v>
      </c>
      <c r="F143" s="7" t="s">
        <v>448</v>
      </c>
      <c r="G143" s="7" t="s">
        <v>721</v>
      </c>
      <c r="H143" s="12" t="s">
        <v>11</v>
      </c>
      <c r="I143" s="12" t="s">
        <v>10</v>
      </c>
      <c r="J143" s="12" t="s">
        <v>726</v>
      </c>
      <c r="K143" s="12"/>
      <c r="L143" s="12"/>
      <c r="M143" s="12"/>
      <c r="N143" s="12"/>
      <c r="O143" s="12"/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 t="s">
        <v>789</v>
      </c>
      <c r="AK143" s="1" t="s">
        <v>448</v>
      </c>
    </row>
    <row r="144" spans="1:37" ht="16.350000000000001" customHeight="1" x14ac:dyDescent="0.2">
      <c r="A144" s="12" t="s">
        <v>257</v>
      </c>
      <c r="B144" s="12">
        <v>61300844</v>
      </c>
      <c r="C144" s="12" t="s">
        <v>395</v>
      </c>
      <c r="D144" s="12" t="s">
        <v>157</v>
      </c>
      <c r="E144" s="12" t="s">
        <v>87</v>
      </c>
      <c r="F144" s="7">
        <v>44257</v>
      </c>
      <c r="G144" s="7">
        <f>F144+731</f>
        <v>44988</v>
      </c>
      <c r="H144" s="12" t="s">
        <v>11</v>
      </c>
      <c r="I144" s="12" t="s">
        <v>391</v>
      </c>
      <c r="J144" s="12"/>
      <c r="K144" s="12"/>
      <c r="L144" s="12"/>
      <c r="M144" s="12"/>
      <c r="N144" s="12"/>
      <c r="O144" s="12"/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 t="s">
        <v>789</v>
      </c>
    </row>
    <row r="145" spans="1:37" ht="16.350000000000001" customHeight="1" x14ac:dyDescent="0.2">
      <c r="A145" s="12" t="s">
        <v>258</v>
      </c>
      <c r="B145" s="12">
        <v>61300844</v>
      </c>
      <c r="C145" s="12" t="s">
        <v>396</v>
      </c>
      <c r="D145" s="12" t="s">
        <v>157</v>
      </c>
      <c r="E145" s="12" t="s">
        <v>87</v>
      </c>
      <c r="F145" s="7">
        <v>44257</v>
      </c>
      <c r="G145" s="7">
        <f>F145+731</f>
        <v>44988</v>
      </c>
      <c r="H145" s="12" t="s">
        <v>11</v>
      </c>
      <c r="I145" s="12" t="s">
        <v>391</v>
      </c>
      <c r="J145" s="12"/>
      <c r="K145" s="12"/>
      <c r="L145" s="12"/>
      <c r="M145" s="12"/>
      <c r="N145" s="12"/>
      <c r="O145" s="12"/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 t="s">
        <v>789</v>
      </c>
    </row>
    <row r="146" spans="1:37" ht="16.350000000000001" customHeight="1" x14ac:dyDescent="0.2">
      <c r="A146" s="12" t="s">
        <v>259</v>
      </c>
      <c r="B146" s="12">
        <v>61300844</v>
      </c>
      <c r="C146" s="12" t="s">
        <v>397</v>
      </c>
      <c r="D146" s="12" t="s">
        <v>157</v>
      </c>
      <c r="E146" s="12" t="s">
        <v>87</v>
      </c>
      <c r="F146" s="7">
        <v>44257</v>
      </c>
      <c r="G146" s="7">
        <f>F146+731</f>
        <v>44988</v>
      </c>
      <c r="H146" s="12" t="s">
        <v>11</v>
      </c>
      <c r="I146" s="12" t="s">
        <v>391</v>
      </c>
      <c r="J146" s="12"/>
      <c r="K146" s="12"/>
      <c r="L146" s="12"/>
      <c r="M146" s="12"/>
      <c r="N146" s="12"/>
      <c r="O146" s="12"/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 t="s">
        <v>789</v>
      </c>
    </row>
    <row r="147" spans="1:37" ht="16.350000000000001" customHeight="1" x14ac:dyDescent="0.2">
      <c r="A147" s="12" t="s">
        <v>260</v>
      </c>
      <c r="B147" s="12">
        <v>1021870</v>
      </c>
      <c r="C147" s="12" t="s">
        <v>252</v>
      </c>
      <c r="D147" s="12" t="s">
        <v>157</v>
      </c>
      <c r="E147" s="12" t="s">
        <v>19</v>
      </c>
      <c r="F147" s="7">
        <v>44321</v>
      </c>
      <c r="G147" s="7">
        <f>F147+731</f>
        <v>45052</v>
      </c>
      <c r="H147" s="12" t="s">
        <v>11</v>
      </c>
      <c r="I147" s="12" t="s">
        <v>392</v>
      </c>
      <c r="J147" s="12"/>
      <c r="K147" s="12"/>
      <c r="L147" s="12"/>
      <c r="M147" s="12"/>
      <c r="N147" s="12"/>
      <c r="O147" s="12"/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 t="s">
        <v>789</v>
      </c>
    </row>
    <row r="148" spans="1:37" ht="16.350000000000001" customHeight="1" x14ac:dyDescent="0.2">
      <c r="A148" s="12" t="s">
        <v>261</v>
      </c>
      <c r="B148" s="12">
        <v>61300844</v>
      </c>
      <c r="C148" s="12" t="s">
        <v>394</v>
      </c>
      <c r="D148" s="12" t="s">
        <v>157</v>
      </c>
      <c r="E148" s="12" t="s">
        <v>87</v>
      </c>
      <c r="F148" s="7">
        <v>44263</v>
      </c>
      <c r="G148" s="7">
        <f>F148+731</f>
        <v>44994</v>
      </c>
      <c r="H148" s="12" t="s">
        <v>11</v>
      </c>
      <c r="I148" s="12" t="s">
        <v>16</v>
      </c>
      <c r="J148" s="12"/>
      <c r="K148" s="12"/>
      <c r="L148" s="12"/>
      <c r="M148" s="12"/>
      <c r="N148" s="12"/>
      <c r="O148" s="12"/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 t="s">
        <v>789</v>
      </c>
    </row>
    <row r="149" spans="1:37" ht="16.350000000000001" customHeight="1" x14ac:dyDescent="0.2">
      <c r="A149" s="12" t="s">
        <v>262</v>
      </c>
      <c r="B149" s="12" t="s">
        <v>398</v>
      </c>
      <c r="C149" s="12" t="s">
        <v>263</v>
      </c>
      <c r="D149" s="12" t="s">
        <v>157</v>
      </c>
      <c r="E149" s="12" t="s">
        <v>87</v>
      </c>
      <c r="F149" s="7" t="s">
        <v>641</v>
      </c>
      <c r="G149" s="7" t="s">
        <v>642</v>
      </c>
      <c r="H149" s="12" t="s">
        <v>11</v>
      </c>
      <c r="I149" s="12" t="s">
        <v>10</v>
      </c>
      <c r="J149" s="12" t="s">
        <v>2</v>
      </c>
      <c r="K149" s="12"/>
      <c r="L149" s="12"/>
      <c r="M149" s="12"/>
      <c r="N149" s="12"/>
      <c r="O149" s="12"/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 t="s">
        <v>789</v>
      </c>
      <c r="AK149" s="1" t="s">
        <v>641</v>
      </c>
    </row>
    <row r="150" spans="1:37" ht="16.350000000000001" hidden="1" customHeight="1" x14ac:dyDescent="0.2">
      <c r="A150" s="12" t="s">
        <v>264</v>
      </c>
      <c r="B150" s="12" t="s">
        <v>398</v>
      </c>
      <c r="C150" s="12" t="s">
        <v>265</v>
      </c>
      <c r="D150" s="12" t="s">
        <v>157</v>
      </c>
      <c r="E150" s="12" t="s">
        <v>87</v>
      </c>
      <c r="F150" s="7" t="s">
        <v>570</v>
      </c>
      <c r="G150" s="7"/>
      <c r="H150" s="12" t="s">
        <v>11</v>
      </c>
      <c r="I150" s="12" t="s">
        <v>16</v>
      </c>
      <c r="J150" s="12" t="s">
        <v>688</v>
      </c>
      <c r="K150" s="12"/>
      <c r="L150" s="12"/>
      <c r="M150" s="12"/>
      <c r="N150" s="12"/>
      <c r="O150" s="12"/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 t="s">
        <v>620</v>
      </c>
      <c r="AK150" s="1" t="s">
        <v>570</v>
      </c>
    </row>
    <row r="151" spans="1:37" ht="16.350000000000001" customHeight="1" x14ac:dyDescent="0.2">
      <c r="A151" s="12" t="s">
        <v>266</v>
      </c>
      <c r="B151" s="12">
        <v>1025508</v>
      </c>
      <c r="C151" s="12" t="s">
        <v>267</v>
      </c>
      <c r="D151" s="12" t="s">
        <v>157</v>
      </c>
      <c r="E151" s="12" t="s">
        <v>19</v>
      </c>
      <c r="F151" s="7" t="s">
        <v>698</v>
      </c>
      <c r="G151" s="7" t="s">
        <v>697</v>
      </c>
      <c r="H151" s="12" t="s">
        <v>11</v>
      </c>
      <c r="I151" s="12" t="s">
        <v>391</v>
      </c>
      <c r="J151" s="12" t="s">
        <v>399</v>
      </c>
      <c r="K151" s="12"/>
      <c r="L151" s="12"/>
      <c r="M151" s="12"/>
      <c r="N151" s="12"/>
      <c r="O151" s="12"/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 t="s">
        <v>789</v>
      </c>
      <c r="AK151" s="1" t="s">
        <v>698</v>
      </c>
    </row>
    <row r="152" spans="1:37" ht="16.350000000000001" customHeight="1" x14ac:dyDescent="0.2">
      <c r="A152" s="12" t="s">
        <v>268</v>
      </c>
      <c r="B152" s="12">
        <v>1025508</v>
      </c>
      <c r="C152" s="12" t="s">
        <v>269</v>
      </c>
      <c r="D152" s="12" t="s">
        <v>157</v>
      </c>
      <c r="E152" s="12" t="s">
        <v>19</v>
      </c>
      <c r="F152" s="7" t="s">
        <v>698</v>
      </c>
      <c r="G152" s="7" t="s">
        <v>697</v>
      </c>
      <c r="H152" s="12" t="s">
        <v>11</v>
      </c>
      <c r="I152" s="12" t="s">
        <v>391</v>
      </c>
      <c r="J152" s="12" t="s">
        <v>399</v>
      </c>
      <c r="K152" s="12"/>
      <c r="L152" s="12"/>
      <c r="M152" s="12"/>
      <c r="N152" s="12"/>
      <c r="O152" s="12"/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 t="s">
        <v>789</v>
      </c>
      <c r="AK152" s="1" t="s">
        <v>698</v>
      </c>
    </row>
    <row r="153" spans="1:37" ht="16.350000000000001" customHeight="1" x14ac:dyDescent="0.2">
      <c r="A153" s="12" t="s">
        <v>270</v>
      </c>
      <c r="B153" s="12">
        <v>5455395</v>
      </c>
      <c r="C153" s="12" t="s">
        <v>271</v>
      </c>
      <c r="D153" s="12" t="s">
        <v>157</v>
      </c>
      <c r="E153" s="12" t="s">
        <v>19</v>
      </c>
      <c r="F153" s="7" t="s">
        <v>689</v>
      </c>
      <c r="G153" s="7" t="s">
        <v>690</v>
      </c>
      <c r="H153" s="12" t="s">
        <v>11</v>
      </c>
      <c r="I153" s="12" t="s">
        <v>10</v>
      </c>
      <c r="J153" s="12" t="s">
        <v>2</v>
      </c>
      <c r="K153" s="12"/>
      <c r="L153" s="12"/>
      <c r="M153" s="12"/>
      <c r="N153" s="12"/>
      <c r="O153" s="12"/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 t="s">
        <v>789</v>
      </c>
      <c r="AK153" s="1" t="s">
        <v>689</v>
      </c>
    </row>
    <row r="154" spans="1:37" ht="16.350000000000001" hidden="1" customHeight="1" x14ac:dyDescent="0.2">
      <c r="A154" s="12" t="s">
        <v>430</v>
      </c>
      <c r="B154" s="12" t="s">
        <v>732</v>
      </c>
      <c r="C154" s="12" t="s">
        <v>431</v>
      </c>
      <c r="D154" s="12" t="s">
        <v>432</v>
      </c>
      <c r="E154" s="12" t="s">
        <v>19</v>
      </c>
      <c r="F154" s="7" t="s">
        <v>696</v>
      </c>
      <c r="G154" s="7" t="s">
        <v>697</v>
      </c>
      <c r="H154" s="12" t="s">
        <v>11</v>
      </c>
      <c r="I154" s="12" t="s">
        <v>433</v>
      </c>
      <c r="J154" s="12" t="s">
        <v>434</v>
      </c>
      <c r="K154" s="12"/>
      <c r="L154" s="12"/>
      <c r="M154" s="12"/>
      <c r="N154" s="12"/>
      <c r="O154" s="12"/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 t="s">
        <v>620</v>
      </c>
      <c r="AK154" s="1" t="s">
        <v>696</v>
      </c>
    </row>
    <row r="155" spans="1:37" ht="16.350000000000001" customHeight="1" x14ac:dyDescent="0.2">
      <c r="A155" s="12" t="s">
        <v>272</v>
      </c>
      <c r="B155" s="12">
        <v>5455395</v>
      </c>
      <c r="C155" s="12" t="s">
        <v>273</v>
      </c>
      <c r="D155" s="12" t="s">
        <v>157</v>
      </c>
      <c r="E155" s="12" t="s">
        <v>19</v>
      </c>
      <c r="F155" s="7" t="s">
        <v>689</v>
      </c>
      <c r="G155" s="7" t="s">
        <v>690</v>
      </c>
      <c r="H155" s="12" t="s">
        <v>11</v>
      </c>
      <c r="I155" s="12" t="s">
        <v>10</v>
      </c>
      <c r="J155" s="12" t="s">
        <v>2</v>
      </c>
      <c r="K155" s="12"/>
      <c r="L155" s="12"/>
      <c r="M155" s="12"/>
      <c r="N155" s="12"/>
      <c r="O155" s="12"/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 t="s">
        <v>789</v>
      </c>
      <c r="AK155" s="1" t="s">
        <v>689</v>
      </c>
    </row>
    <row r="156" spans="1:37" ht="16.350000000000001" customHeight="1" x14ac:dyDescent="0.2">
      <c r="A156" s="12" t="s">
        <v>274</v>
      </c>
      <c r="B156" s="12">
        <v>5455395</v>
      </c>
      <c r="C156" s="12" t="s">
        <v>275</v>
      </c>
      <c r="D156" s="12" t="s">
        <v>157</v>
      </c>
      <c r="E156" s="12" t="s">
        <v>19</v>
      </c>
      <c r="F156" s="7" t="s">
        <v>691</v>
      </c>
      <c r="G156" s="7" t="s">
        <v>690</v>
      </c>
      <c r="H156" s="12" t="s">
        <v>11</v>
      </c>
      <c r="I156" s="12" t="s">
        <v>10</v>
      </c>
      <c r="J156" s="12" t="s">
        <v>2</v>
      </c>
      <c r="K156" s="12"/>
      <c r="L156" s="12"/>
      <c r="M156" s="12"/>
      <c r="N156" s="12"/>
      <c r="O156" s="12"/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 t="s">
        <v>789</v>
      </c>
      <c r="AK156" s="1" t="s">
        <v>691</v>
      </c>
    </row>
    <row r="157" spans="1:37" ht="16.350000000000001" customHeight="1" x14ac:dyDescent="0.2">
      <c r="A157" s="12" t="s">
        <v>276</v>
      </c>
      <c r="B157" s="12">
        <v>5455396</v>
      </c>
      <c r="C157" s="12" t="s">
        <v>277</v>
      </c>
      <c r="D157" s="12" t="s">
        <v>157</v>
      </c>
      <c r="E157" s="12" t="s">
        <v>19</v>
      </c>
      <c r="F157" s="7" t="s">
        <v>689</v>
      </c>
      <c r="G157" s="7" t="s">
        <v>690</v>
      </c>
      <c r="H157" s="12" t="s">
        <v>11</v>
      </c>
      <c r="I157" s="12" t="s">
        <v>10</v>
      </c>
      <c r="J157" s="12" t="s">
        <v>2</v>
      </c>
      <c r="K157" s="12"/>
      <c r="L157" s="12"/>
      <c r="M157" s="12"/>
      <c r="N157" s="12"/>
      <c r="O157" s="12"/>
      <c r="P157" s="12"/>
      <c r="Q157" s="12"/>
      <c r="R157" s="12"/>
      <c r="S157" s="12"/>
      <c r="T157" s="12"/>
      <c r="U157" s="12"/>
      <c r="V157" s="12"/>
      <c r="W157" s="12"/>
      <c r="X157" s="12"/>
      <c r="Y157" s="12"/>
      <c r="Z157" s="12" t="s">
        <v>789</v>
      </c>
      <c r="AK157" s="1" t="s">
        <v>689</v>
      </c>
    </row>
    <row r="158" spans="1:37" ht="16.350000000000001" customHeight="1" x14ac:dyDescent="0.2">
      <c r="A158" s="12" t="s">
        <v>278</v>
      </c>
      <c r="B158" s="12">
        <v>5455396</v>
      </c>
      <c r="C158" s="12" t="s">
        <v>279</v>
      </c>
      <c r="D158" s="12" t="s">
        <v>157</v>
      </c>
      <c r="E158" s="12" t="s">
        <v>19</v>
      </c>
      <c r="F158" s="7" t="s">
        <v>689</v>
      </c>
      <c r="G158" s="7" t="s">
        <v>690</v>
      </c>
      <c r="H158" s="12" t="s">
        <v>11</v>
      </c>
      <c r="I158" s="12" t="s">
        <v>10</v>
      </c>
      <c r="J158" s="12" t="s">
        <v>2</v>
      </c>
      <c r="K158" s="12"/>
      <c r="L158" s="12"/>
      <c r="M158" s="12"/>
      <c r="N158" s="12"/>
      <c r="O158" s="12"/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 t="s">
        <v>789</v>
      </c>
      <c r="AK158" s="1" t="s">
        <v>689</v>
      </c>
    </row>
    <row r="159" spans="1:37" ht="16.350000000000001" customHeight="1" x14ac:dyDescent="0.2">
      <c r="A159" s="12" t="s">
        <v>280</v>
      </c>
      <c r="B159" s="12">
        <v>5455396</v>
      </c>
      <c r="C159" s="12" t="s">
        <v>281</v>
      </c>
      <c r="D159" s="12" t="s">
        <v>157</v>
      </c>
      <c r="E159" s="12" t="s">
        <v>19</v>
      </c>
      <c r="F159" s="7" t="s">
        <v>691</v>
      </c>
      <c r="G159" s="7" t="s">
        <v>690</v>
      </c>
      <c r="H159" s="12" t="s">
        <v>11</v>
      </c>
      <c r="I159" s="12" t="s">
        <v>10</v>
      </c>
      <c r="J159" s="12" t="s">
        <v>2</v>
      </c>
      <c r="K159" s="12"/>
      <c r="L159" s="12"/>
      <c r="M159" s="12"/>
      <c r="N159" s="12"/>
      <c r="O159" s="12"/>
      <c r="P159" s="12"/>
      <c r="Q159" s="12"/>
      <c r="R159" s="12"/>
      <c r="S159" s="12"/>
      <c r="T159" s="12"/>
      <c r="U159" s="12"/>
      <c r="V159" s="12"/>
      <c r="W159" s="12"/>
      <c r="X159" s="12"/>
      <c r="Y159" s="12"/>
      <c r="Z159" s="12" t="s">
        <v>789</v>
      </c>
      <c r="AK159" s="1" t="s">
        <v>691</v>
      </c>
    </row>
    <row r="160" spans="1:37" ht="16.350000000000001" customHeight="1" x14ac:dyDescent="0.2">
      <c r="A160" s="12" t="s">
        <v>282</v>
      </c>
      <c r="B160" s="12" t="s">
        <v>400</v>
      </c>
      <c r="C160" s="12" t="s">
        <v>283</v>
      </c>
      <c r="D160" s="12" t="s">
        <v>157</v>
      </c>
      <c r="E160" s="12" t="s">
        <v>19</v>
      </c>
      <c r="F160" s="7" t="s">
        <v>694</v>
      </c>
      <c r="G160" s="7" t="s">
        <v>693</v>
      </c>
      <c r="H160" s="12" t="s">
        <v>11</v>
      </c>
      <c r="I160" s="12" t="s">
        <v>20</v>
      </c>
      <c r="J160" s="12" t="s">
        <v>2</v>
      </c>
      <c r="K160" s="12"/>
      <c r="L160" s="12"/>
      <c r="M160" s="12"/>
      <c r="N160" s="12"/>
      <c r="O160" s="12"/>
      <c r="P160" s="12"/>
      <c r="Q160" s="12"/>
      <c r="R160" s="12"/>
      <c r="S160" s="12"/>
      <c r="T160" s="12"/>
      <c r="U160" s="12"/>
      <c r="V160" s="12"/>
      <c r="W160" s="12"/>
      <c r="X160" s="12"/>
      <c r="Y160" s="12"/>
      <c r="Z160" s="12" t="s">
        <v>789</v>
      </c>
      <c r="AK160" s="1" t="s">
        <v>694</v>
      </c>
    </row>
    <row r="161" spans="1:37" ht="16.350000000000001" customHeight="1" x14ac:dyDescent="0.2">
      <c r="A161" s="12" t="s">
        <v>284</v>
      </c>
      <c r="B161" s="12" t="s">
        <v>401</v>
      </c>
      <c r="C161" s="12" t="s">
        <v>285</v>
      </c>
      <c r="D161" s="12" t="s">
        <v>157</v>
      </c>
      <c r="E161" s="12" t="s">
        <v>19</v>
      </c>
      <c r="F161" s="7" t="s">
        <v>694</v>
      </c>
      <c r="G161" s="7" t="s">
        <v>693</v>
      </c>
      <c r="H161" s="12" t="s">
        <v>11</v>
      </c>
      <c r="I161" s="12" t="s">
        <v>20</v>
      </c>
      <c r="J161" s="12" t="s">
        <v>2</v>
      </c>
      <c r="K161" s="12"/>
      <c r="L161" s="12"/>
      <c r="M161" s="12"/>
      <c r="N161" s="12"/>
      <c r="O161" s="12"/>
      <c r="P161" s="12"/>
      <c r="Q161" s="12"/>
      <c r="R161" s="12"/>
      <c r="S161" s="12"/>
      <c r="T161" s="12"/>
      <c r="U161" s="12"/>
      <c r="V161" s="12"/>
      <c r="W161" s="12"/>
      <c r="X161" s="12"/>
      <c r="Y161" s="12"/>
      <c r="Z161" s="12" t="s">
        <v>789</v>
      </c>
      <c r="AK161" s="1" t="s">
        <v>694</v>
      </c>
    </row>
    <row r="162" spans="1:37" ht="16.350000000000001" customHeight="1" x14ac:dyDescent="0.2">
      <c r="A162" s="12" t="s">
        <v>286</v>
      </c>
      <c r="B162" s="12" t="s">
        <v>402</v>
      </c>
      <c r="C162" s="12" t="s">
        <v>287</v>
      </c>
      <c r="D162" s="12" t="s">
        <v>157</v>
      </c>
      <c r="E162" s="12" t="s">
        <v>19</v>
      </c>
      <c r="F162" s="7" t="s">
        <v>750</v>
      </c>
      <c r="G162" s="7" t="s">
        <v>752</v>
      </c>
      <c r="H162" s="12" t="s">
        <v>11</v>
      </c>
      <c r="I162" s="12" t="s">
        <v>16</v>
      </c>
      <c r="J162" s="12" t="s">
        <v>2</v>
      </c>
      <c r="K162" s="12"/>
      <c r="L162" s="12"/>
      <c r="M162" s="12"/>
      <c r="N162" s="12"/>
      <c r="O162" s="12"/>
      <c r="P162" s="12"/>
      <c r="Q162" s="12"/>
      <c r="R162" s="12"/>
      <c r="S162" s="12"/>
      <c r="T162" s="12"/>
      <c r="U162" s="12"/>
      <c r="V162" s="12"/>
      <c r="W162" s="12"/>
      <c r="X162" s="12"/>
      <c r="Y162" s="12"/>
      <c r="Z162" s="12" t="s">
        <v>789</v>
      </c>
      <c r="AK162" s="1" t="s">
        <v>750</v>
      </c>
    </row>
    <row r="163" spans="1:37" ht="16.350000000000001" customHeight="1" x14ac:dyDescent="0.2">
      <c r="A163" s="12" t="s">
        <v>288</v>
      </c>
      <c r="B163" s="12">
        <v>5142754</v>
      </c>
      <c r="C163" s="12" t="s">
        <v>289</v>
      </c>
      <c r="D163" s="12" t="s">
        <v>157</v>
      </c>
      <c r="E163" s="12" t="s">
        <v>19</v>
      </c>
      <c r="F163" s="7">
        <v>44180</v>
      </c>
      <c r="G163" s="7">
        <f>F163+731</f>
        <v>44911</v>
      </c>
      <c r="H163" s="12" t="s">
        <v>11</v>
      </c>
      <c r="I163" s="12" t="s">
        <v>16</v>
      </c>
      <c r="J163" s="12"/>
      <c r="K163" s="12"/>
      <c r="L163" s="12"/>
      <c r="M163" s="12"/>
      <c r="N163" s="12"/>
      <c r="O163" s="12"/>
      <c r="P163" s="12"/>
      <c r="Q163" s="12"/>
      <c r="R163" s="12"/>
      <c r="S163" s="12"/>
      <c r="T163" s="12"/>
      <c r="U163" s="12"/>
      <c r="V163" s="12"/>
      <c r="W163" s="12"/>
      <c r="X163" s="12"/>
      <c r="Y163" s="12"/>
      <c r="Z163" s="12" t="s">
        <v>789</v>
      </c>
    </row>
    <row r="164" spans="1:37" ht="16.350000000000001" customHeight="1" x14ac:dyDescent="0.2">
      <c r="A164" s="12" t="s">
        <v>290</v>
      </c>
      <c r="B164" s="12" t="s">
        <v>403</v>
      </c>
      <c r="C164" s="12" t="s">
        <v>291</v>
      </c>
      <c r="D164" s="12" t="s">
        <v>157</v>
      </c>
      <c r="E164" s="12" t="s">
        <v>19</v>
      </c>
      <c r="F164" s="7" t="s">
        <v>757</v>
      </c>
      <c r="G164" s="7" t="s">
        <v>756</v>
      </c>
      <c r="H164" s="12" t="s">
        <v>11</v>
      </c>
      <c r="I164" s="12" t="s">
        <v>20</v>
      </c>
      <c r="J164" s="12" t="s">
        <v>2</v>
      </c>
      <c r="K164" s="12"/>
      <c r="L164" s="12"/>
      <c r="M164" s="12"/>
      <c r="N164" s="12"/>
      <c r="O164" s="12"/>
      <c r="P164" s="12"/>
      <c r="Q164" s="12"/>
      <c r="R164" s="12"/>
      <c r="S164" s="12"/>
      <c r="T164" s="12"/>
      <c r="U164" s="12"/>
      <c r="V164" s="12"/>
      <c r="W164" s="12"/>
      <c r="X164" s="12"/>
      <c r="Y164" s="12"/>
      <c r="Z164" s="12" t="s">
        <v>789</v>
      </c>
      <c r="AK164" s="1" t="s">
        <v>757</v>
      </c>
    </row>
    <row r="165" spans="1:37" ht="16.350000000000001" customHeight="1" x14ac:dyDescent="0.2">
      <c r="A165" s="12" t="s">
        <v>292</v>
      </c>
      <c r="B165" s="12" t="s">
        <v>404</v>
      </c>
      <c r="C165" s="12" t="s">
        <v>293</v>
      </c>
      <c r="D165" s="12" t="s">
        <v>157</v>
      </c>
      <c r="E165" s="12" t="s">
        <v>19</v>
      </c>
      <c r="F165" s="7" t="s">
        <v>757</v>
      </c>
      <c r="G165" s="7" t="s">
        <v>756</v>
      </c>
      <c r="H165" s="12" t="s">
        <v>11</v>
      </c>
      <c r="I165" s="12" t="s">
        <v>20</v>
      </c>
      <c r="J165" s="12" t="s">
        <v>2</v>
      </c>
      <c r="K165" s="12"/>
      <c r="L165" s="12"/>
      <c r="M165" s="12"/>
      <c r="N165" s="12"/>
      <c r="O165" s="12"/>
      <c r="P165" s="12"/>
      <c r="Q165" s="12"/>
      <c r="R165" s="12"/>
      <c r="S165" s="12"/>
      <c r="T165" s="12"/>
      <c r="U165" s="12"/>
      <c r="V165" s="12"/>
      <c r="W165" s="12"/>
      <c r="X165" s="12"/>
      <c r="Y165" s="12"/>
      <c r="Z165" s="12" t="s">
        <v>789</v>
      </c>
      <c r="AK165" s="1" t="s">
        <v>757</v>
      </c>
    </row>
    <row r="166" spans="1:37" ht="16.350000000000001" customHeight="1" x14ac:dyDescent="0.2">
      <c r="A166" s="12" t="s">
        <v>294</v>
      </c>
      <c r="B166" s="12" t="s">
        <v>405</v>
      </c>
      <c r="C166" s="12" t="s">
        <v>295</v>
      </c>
      <c r="D166" s="12" t="s">
        <v>157</v>
      </c>
      <c r="E166" s="12" t="s">
        <v>19</v>
      </c>
      <c r="F166" s="7" t="s">
        <v>701</v>
      </c>
      <c r="G166" s="7" t="s">
        <v>700</v>
      </c>
      <c r="H166" s="12" t="s">
        <v>11</v>
      </c>
      <c r="I166" s="12" t="s">
        <v>10</v>
      </c>
      <c r="J166" s="12" t="s">
        <v>2</v>
      </c>
      <c r="K166" s="12"/>
      <c r="L166" s="12"/>
      <c r="M166" s="12"/>
      <c r="N166" s="12"/>
      <c r="O166" s="12"/>
      <c r="P166" s="12"/>
      <c r="Q166" s="12"/>
      <c r="R166" s="12"/>
      <c r="S166" s="12"/>
      <c r="T166" s="12"/>
      <c r="U166" s="12"/>
      <c r="V166" s="12"/>
      <c r="W166" s="12"/>
      <c r="X166" s="12"/>
      <c r="Y166" s="12"/>
      <c r="Z166" s="12" t="s">
        <v>789</v>
      </c>
      <c r="AK166" s="1" t="s">
        <v>701</v>
      </c>
    </row>
    <row r="167" spans="1:37" ht="16.350000000000001" customHeight="1" x14ac:dyDescent="0.2">
      <c r="A167" s="12" t="s">
        <v>296</v>
      </c>
      <c r="B167" s="12" t="s">
        <v>406</v>
      </c>
      <c r="C167" s="12" t="s">
        <v>297</v>
      </c>
      <c r="D167" s="12" t="s">
        <v>157</v>
      </c>
      <c r="E167" s="12" t="s">
        <v>19</v>
      </c>
      <c r="F167" s="7" t="s">
        <v>750</v>
      </c>
      <c r="G167" s="7" t="s">
        <v>752</v>
      </c>
      <c r="H167" s="12" t="s">
        <v>11</v>
      </c>
      <c r="I167" s="12" t="s">
        <v>16</v>
      </c>
      <c r="J167" s="12" t="s">
        <v>2</v>
      </c>
      <c r="K167" s="12"/>
      <c r="L167" s="12"/>
      <c r="M167" s="12"/>
      <c r="N167" s="12"/>
      <c r="O167" s="12"/>
      <c r="P167" s="12"/>
      <c r="Q167" s="12"/>
      <c r="R167" s="12"/>
      <c r="S167" s="12"/>
      <c r="T167" s="12"/>
      <c r="U167" s="12"/>
      <c r="V167" s="12"/>
      <c r="W167" s="12"/>
      <c r="X167" s="12"/>
      <c r="Y167" s="12"/>
      <c r="Z167" s="12" t="s">
        <v>789</v>
      </c>
      <c r="AK167" s="1" t="s">
        <v>750</v>
      </c>
    </row>
    <row r="168" spans="1:37" ht="16.350000000000001" customHeight="1" x14ac:dyDescent="0.2">
      <c r="A168" s="12" t="s">
        <v>298</v>
      </c>
      <c r="B168" s="12" t="s">
        <v>299</v>
      </c>
      <c r="C168" s="12" t="s">
        <v>300</v>
      </c>
      <c r="D168" s="12" t="s">
        <v>157</v>
      </c>
      <c r="E168" s="12" t="s">
        <v>19</v>
      </c>
      <c r="F168" s="7">
        <v>44322</v>
      </c>
      <c r="G168" s="7">
        <f>F168+731</f>
        <v>45053</v>
      </c>
      <c r="H168" s="12" t="s">
        <v>11</v>
      </c>
      <c r="I168" s="12" t="s">
        <v>10</v>
      </c>
      <c r="J168" s="12"/>
      <c r="K168" s="12"/>
      <c r="L168" s="12"/>
      <c r="M168" s="12"/>
      <c r="N168" s="12"/>
      <c r="O168" s="12"/>
      <c r="P168" s="12"/>
      <c r="Q168" s="12"/>
      <c r="R168" s="12"/>
      <c r="S168" s="12"/>
      <c r="T168" s="12"/>
      <c r="U168" s="12"/>
      <c r="V168" s="12"/>
      <c r="W168" s="12"/>
      <c r="X168" s="12"/>
      <c r="Y168" s="12"/>
      <c r="Z168" s="12" t="s">
        <v>789</v>
      </c>
    </row>
    <row r="169" spans="1:37" ht="16.350000000000001" customHeight="1" x14ac:dyDescent="0.2">
      <c r="A169" s="12" t="s">
        <v>301</v>
      </c>
      <c r="B169" s="12">
        <v>1024386</v>
      </c>
      <c r="C169" s="12" t="s">
        <v>156</v>
      </c>
      <c r="D169" s="12" t="s">
        <v>157</v>
      </c>
      <c r="E169" s="12" t="s">
        <v>19</v>
      </c>
      <c r="F169" s="7" t="s">
        <v>750</v>
      </c>
      <c r="G169" s="7" t="s">
        <v>752</v>
      </c>
      <c r="H169" s="12" t="s">
        <v>11</v>
      </c>
      <c r="I169" s="12" t="s">
        <v>16</v>
      </c>
      <c r="J169" s="12" t="s">
        <v>2</v>
      </c>
      <c r="K169" s="12"/>
      <c r="L169" s="12"/>
      <c r="M169" s="12"/>
      <c r="N169" s="12"/>
      <c r="O169" s="12"/>
      <c r="P169" s="12"/>
      <c r="Q169" s="12"/>
      <c r="R169" s="12"/>
      <c r="S169" s="12"/>
      <c r="T169" s="12"/>
      <c r="U169" s="12"/>
      <c r="V169" s="12"/>
      <c r="W169" s="12"/>
      <c r="X169" s="12"/>
      <c r="Y169" s="12"/>
      <c r="Z169" s="12" t="s">
        <v>789</v>
      </c>
      <c r="AK169" s="1" t="s">
        <v>750</v>
      </c>
    </row>
    <row r="170" spans="1:37" ht="16.350000000000001" customHeight="1" x14ac:dyDescent="0.2">
      <c r="A170" s="12" t="s">
        <v>302</v>
      </c>
      <c r="B170" s="12" t="s">
        <v>338</v>
      </c>
      <c r="C170" s="12" t="s">
        <v>303</v>
      </c>
      <c r="D170" s="12" t="s">
        <v>157</v>
      </c>
      <c r="E170" s="12" t="s">
        <v>19</v>
      </c>
      <c r="F170" s="7">
        <v>44300</v>
      </c>
      <c r="G170" s="7">
        <f>F170+731</f>
        <v>45031</v>
      </c>
      <c r="H170" s="12" t="s">
        <v>11</v>
      </c>
      <c r="I170" s="12" t="s">
        <v>16</v>
      </c>
      <c r="J170" s="12"/>
      <c r="K170" s="12"/>
      <c r="L170" s="12"/>
      <c r="M170" s="12"/>
      <c r="N170" s="12"/>
      <c r="O170" s="12"/>
      <c r="P170" s="12"/>
      <c r="Q170" s="12"/>
      <c r="R170" s="12"/>
      <c r="S170" s="12"/>
      <c r="T170" s="12"/>
      <c r="U170" s="12"/>
      <c r="V170" s="12"/>
      <c r="W170" s="12"/>
      <c r="X170" s="12"/>
      <c r="Y170" s="12"/>
      <c r="Z170" s="12" t="s">
        <v>789</v>
      </c>
    </row>
    <row r="171" spans="1:37" ht="16.350000000000001" customHeight="1" x14ac:dyDescent="0.2">
      <c r="A171" s="12" t="s">
        <v>304</v>
      </c>
      <c r="B171" s="12" t="s">
        <v>120</v>
      </c>
      <c r="C171" s="12" t="s">
        <v>407</v>
      </c>
      <c r="D171" s="12" t="s">
        <v>157</v>
      </c>
      <c r="E171" s="12" t="s">
        <v>19</v>
      </c>
      <c r="F171" s="7">
        <v>44300</v>
      </c>
      <c r="G171" s="7">
        <f>F171+731</f>
        <v>45031</v>
      </c>
      <c r="H171" s="12" t="s">
        <v>11</v>
      </c>
      <c r="I171" s="12" t="s">
        <v>16</v>
      </c>
      <c r="J171" s="12"/>
      <c r="K171" s="12"/>
      <c r="L171" s="12"/>
      <c r="M171" s="12"/>
      <c r="N171" s="12"/>
      <c r="O171" s="12"/>
      <c r="P171" s="12"/>
      <c r="Q171" s="12"/>
      <c r="R171" s="12"/>
      <c r="S171" s="12"/>
      <c r="T171" s="12"/>
      <c r="U171" s="12"/>
      <c r="V171" s="12"/>
      <c r="W171" s="12"/>
      <c r="X171" s="12"/>
      <c r="Y171" s="12"/>
      <c r="Z171" s="12" t="s">
        <v>789</v>
      </c>
    </row>
    <row r="172" spans="1:37" ht="16.350000000000001" customHeight="1" x14ac:dyDescent="0.2">
      <c r="A172" s="12" t="s">
        <v>305</v>
      </c>
      <c r="B172" s="12" t="s">
        <v>306</v>
      </c>
      <c r="C172" s="12" t="s">
        <v>307</v>
      </c>
      <c r="D172" s="12" t="s">
        <v>157</v>
      </c>
      <c r="E172" s="12" t="s">
        <v>170</v>
      </c>
      <c r="F172" s="7">
        <v>44250</v>
      </c>
      <c r="G172" s="7">
        <f>F172+731</f>
        <v>44981</v>
      </c>
      <c r="H172" s="12" t="s">
        <v>11</v>
      </c>
      <c r="I172" s="12" t="s">
        <v>16</v>
      </c>
      <c r="J172" s="12"/>
      <c r="K172" s="12"/>
      <c r="L172" s="12"/>
      <c r="M172" s="12"/>
      <c r="N172" s="12"/>
      <c r="O172" s="12"/>
      <c r="P172" s="12"/>
      <c r="Q172" s="12"/>
      <c r="R172" s="12"/>
      <c r="S172" s="12"/>
      <c r="T172" s="12"/>
      <c r="U172" s="12"/>
      <c r="V172" s="12"/>
      <c r="W172" s="12"/>
      <c r="X172" s="12"/>
      <c r="Y172" s="12"/>
      <c r="Z172" s="12" t="s">
        <v>789</v>
      </c>
    </row>
    <row r="173" spans="1:37" ht="16.350000000000001" customHeight="1" x14ac:dyDescent="0.2">
      <c r="A173" s="12" t="s">
        <v>308</v>
      </c>
      <c r="B173" s="12" t="s">
        <v>309</v>
      </c>
      <c r="C173" s="12" t="s">
        <v>310</v>
      </c>
      <c r="D173" s="12" t="s">
        <v>157</v>
      </c>
      <c r="E173" s="12" t="s">
        <v>170</v>
      </c>
      <c r="F173" s="7" t="s">
        <v>594</v>
      </c>
      <c r="G173" s="7" t="s">
        <v>595</v>
      </c>
      <c r="H173" s="12" t="s">
        <v>11</v>
      </c>
      <c r="I173" s="12" t="s">
        <v>16</v>
      </c>
      <c r="J173" s="12" t="s">
        <v>593</v>
      </c>
      <c r="K173" s="12"/>
      <c r="L173" s="12"/>
      <c r="M173" s="12"/>
      <c r="N173" s="12"/>
      <c r="O173" s="12"/>
      <c r="P173" s="12"/>
      <c r="Q173" s="12"/>
      <c r="R173" s="12"/>
      <c r="S173" s="12"/>
      <c r="T173" s="12"/>
      <c r="U173" s="12"/>
      <c r="V173" s="12"/>
      <c r="W173" s="12"/>
      <c r="X173" s="12"/>
      <c r="Y173" s="12"/>
      <c r="Z173" s="12" t="s">
        <v>789</v>
      </c>
      <c r="AK173" s="1" t="s">
        <v>594</v>
      </c>
    </row>
    <row r="174" spans="1:37" ht="16.350000000000001" customHeight="1" x14ac:dyDescent="0.2">
      <c r="A174" s="12" t="s">
        <v>311</v>
      </c>
      <c r="B174" s="12">
        <v>5267903</v>
      </c>
      <c r="C174" s="12" t="s">
        <v>312</v>
      </c>
      <c r="D174" s="12" t="s">
        <v>157</v>
      </c>
      <c r="E174" s="12" t="s">
        <v>19</v>
      </c>
      <c r="F174" s="7">
        <v>44263</v>
      </c>
      <c r="G174" s="7">
        <f>F174+731</f>
        <v>44994</v>
      </c>
      <c r="H174" s="12" t="s">
        <v>11</v>
      </c>
      <c r="I174" s="12" t="s">
        <v>16</v>
      </c>
      <c r="J174" s="12"/>
      <c r="K174" s="12"/>
      <c r="L174" s="12"/>
      <c r="M174" s="12"/>
      <c r="N174" s="12"/>
      <c r="O174" s="12"/>
      <c r="P174" s="12"/>
      <c r="Q174" s="12"/>
      <c r="R174" s="12"/>
      <c r="S174" s="12"/>
      <c r="T174" s="12"/>
      <c r="U174" s="12"/>
      <c r="V174" s="12"/>
      <c r="W174" s="12"/>
      <c r="X174" s="12"/>
      <c r="Y174" s="12"/>
      <c r="Z174" s="12" t="s">
        <v>789</v>
      </c>
    </row>
    <row r="175" spans="1:37" ht="16.350000000000001" customHeight="1" x14ac:dyDescent="0.2">
      <c r="A175" s="12" t="s">
        <v>313</v>
      </c>
      <c r="B175" s="12">
        <v>61300844</v>
      </c>
      <c r="C175" s="12" t="s">
        <v>394</v>
      </c>
      <c r="D175" s="12" t="s">
        <v>157</v>
      </c>
      <c r="E175" s="12" t="s">
        <v>87</v>
      </c>
      <c r="F175" s="7">
        <v>44263</v>
      </c>
      <c r="G175" s="7">
        <f>F175+731</f>
        <v>44994</v>
      </c>
      <c r="H175" s="12" t="s">
        <v>11</v>
      </c>
      <c r="I175" s="12" t="s">
        <v>16</v>
      </c>
      <c r="J175" s="12"/>
      <c r="K175" s="12"/>
      <c r="L175" s="12"/>
      <c r="M175" s="12"/>
      <c r="N175" s="12"/>
      <c r="O175" s="12"/>
      <c r="P175" s="12"/>
      <c r="Q175" s="12"/>
      <c r="R175" s="12"/>
      <c r="S175" s="12"/>
      <c r="T175" s="12"/>
      <c r="U175" s="12"/>
      <c r="V175" s="12"/>
      <c r="W175" s="12"/>
      <c r="X175" s="12"/>
      <c r="Y175" s="12"/>
      <c r="Z175" s="12" t="s">
        <v>789</v>
      </c>
    </row>
    <row r="176" spans="1:37" ht="16.350000000000001" hidden="1" customHeight="1" x14ac:dyDescent="0.2">
      <c r="A176" s="12" t="s">
        <v>62</v>
      </c>
      <c r="B176" s="12" t="s">
        <v>22</v>
      </c>
      <c r="C176" s="12" t="s">
        <v>63</v>
      </c>
      <c r="D176" s="12" t="s">
        <v>154</v>
      </c>
      <c r="E176" s="12" t="s">
        <v>19</v>
      </c>
      <c r="F176" s="7" t="s">
        <v>702</v>
      </c>
      <c r="G176" s="7" t="s">
        <v>703</v>
      </c>
      <c r="H176" s="12" t="s">
        <v>11</v>
      </c>
      <c r="I176" s="12" t="s">
        <v>16</v>
      </c>
      <c r="J176" s="12" t="s">
        <v>2</v>
      </c>
      <c r="K176" s="12"/>
      <c r="L176" s="12"/>
      <c r="M176" s="12"/>
      <c r="N176" s="12"/>
      <c r="O176" s="12"/>
      <c r="P176" s="12"/>
      <c r="Q176" s="12"/>
      <c r="R176" s="12"/>
      <c r="S176" s="12"/>
      <c r="T176" s="12"/>
      <c r="U176" s="12"/>
      <c r="V176" s="12"/>
      <c r="W176" s="12"/>
      <c r="X176" s="12"/>
      <c r="Y176" s="12"/>
      <c r="Z176" s="12" t="s">
        <v>619</v>
      </c>
      <c r="AK176" s="1" t="s">
        <v>702</v>
      </c>
    </row>
    <row r="177" spans="1:26" ht="16.350000000000001" customHeight="1" x14ac:dyDescent="0.2">
      <c r="A177" s="12" t="s">
        <v>314</v>
      </c>
      <c r="B177" s="12">
        <v>5261936</v>
      </c>
      <c r="C177" s="12" t="s">
        <v>200</v>
      </c>
      <c r="D177" s="12" t="s">
        <v>157</v>
      </c>
      <c r="E177" s="12" t="s">
        <v>19</v>
      </c>
      <c r="F177" s="7">
        <v>44257</v>
      </c>
      <c r="G177" s="7">
        <f t="shared" ref="G177:G189" si="0">F177+731</f>
        <v>44988</v>
      </c>
      <c r="H177" s="12" t="s">
        <v>11</v>
      </c>
      <c r="I177" s="12" t="s">
        <v>10</v>
      </c>
      <c r="J177" s="12"/>
      <c r="K177" s="12"/>
      <c r="L177" s="12"/>
      <c r="M177" s="12"/>
      <c r="N177" s="12"/>
      <c r="O177" s="12"/>
      <c r="P177" s="12"/>
      <c r="Q177" s="12"/>
      <c r="R177" s="12"/>
      <c r="S177" s="12"/>
      <c r="T177" s="12"/>
      <c r="U177" s="12"/>
      <c r="V177" s="12"/>
      <c r="W177" s="12"/>
      <c r="X177" s="12"/>
      <c r="Y177" s="12"/>
      <c r="Z177" s="12" t="s">
        <v>789</v>
      </c>
    </row>
    <row r="178" spans="1:26" ht="16.350000000000001" customHeight="1" x14ac:dyDescent="0.2">
      <c r="A178" s="12" t="s">
        <v>315</v>
      </c>
      <c r="B178" s="12">
        <v>5261937</v>
      </c>
      <c r="C178" s="12" t="s">
        <v>203</v>
      </c>
      <c r="D178" s="12" t="s">
        <v>157</v>
      </c>
      <c r="E178" s="12" t="s">
        <v>19</v>
      </c>
      <c r="F178" s="7">
        <v>44257</v>
      </c>
      <c r="G178" s="7">
        <f t="shared" si="0"/>
        <v>44988</v>
      </c>
      <c r="H178" s="12" t="s">
        <v>11</v>
      </c>
      <c r="I178" s="12" t="s">
        <v>10</v>
      </c>
      <c r="J178" s="12"/>
      <c r="K178" s="12"/>
      <c r="L178" s="12"/>
      <c r="M178" s="12"/>
      <c r="N178" s="12"/>
      <c r="O178" s="12"/>
      <c r="P178" s="12"/>
      <c r="Q178" s="12"/>
      <c r="R178" s="12"/>
      <c r="S178" s="12"/>
      <c r="T178" s="12"/>
      <c r="U178" s="12"/>
      <c r="V178" s="12"/>
      <c r="W178" s="12"/>
      <c r="X178" s="12"/>
      <c r="Y178" s="12"/>
      <c r="Z178" s="12" t="s">
        <v>789</v>
      </c>
    </row>
    <row r="179" spans="1:26" ht="16.350000000000001" customHeight="1" x14ac:dyDescent="0.2">
      <c r="A179" s="12" t="s">
        <v>316</v>
      </c>
      <c r="B179" s="12" t="s">
        <v>317</v>
      </c>
      <c r="C179" s="12" t="s">
        <v>318</v>
      </c>
      <c r="D179" s="12" t="s">
        <v>157</v>
      </c>
      <c r="E179" s="12" t="s">
        <v>389</v>
      </c>
      <c r="F179" s="7">
        <v>44257</v>
      </c>
      <c r="G179" s="7">
        <f t="shared" si="0"/>
        <v>44988</v>
      </c>
      <c r="H179" s="12" t="s">
        <v>11</v>
      </c>
      <c r="I179" s="12" t="s">
        <v>10</v>
      </c>
      <c r="J179" s="12"/>
      <c r="K179" s="12"/>
      <c r="L179" s="12"/>
      <c r="M179" s="12"/>
      <c r="N179" s="12"/>
      <c r="O179" s="12"/>
      <c r="P179" s="12"/>
      <c r="Q179" s="12"/>
      <c r="R179" s="12"/>
      <c r="S179" s="12"/>
      <c r="T179" s="12"/>
      <c r="U179" s="12"/>
      <c r="V179" s="12"/>
      <c r="W179" s="12"/>
      <c r="X179" s="12"/>
      <c r="Y179" s="12"/>
      <c r="Z179" s="12" t="s">
        <v>789</v>
      </c>
    </row>
    <row r="180" spans="1:26" ht="16.350000000000001" customHeight="1" x14ac:dyDescent="0.2">
      <c r="A180" s="12" t="s">
        <v>319</v>
      </c>
      <c r="B180" s="12" t="s">
        <v>67</v>
      </c>
      <c r="C180" s="12" t="s">
        <v>68</v>
      </c>
      <c r="D180" s="12" t="s">
        <v>157</v>
      </c>
      <c r="E180" s="12" t="s">
        <v>19</v>
      </c>
      <c r="F180" s="7">
        <v>44257</v>
      </c>
      <c r="G180" s="7">
        <f t="shared" si="0"/>
        <v>44988</v>
      </c>
      <c r="H180" s="12" t="s">
        <v>11</v>
      </c>
      <c r="I180" s="12" t="s">
        <v>391</v>
      </c>
      <c r="J180" s="12"/>
      <c r="K180" s="12"/>
      <c r="L180" s="12"/>
      <c r="M180" s="12"/>
      <c r="N180" s="12"/>
      <c r="O180" s="12"/>
      <c r="P180" s="12"/>
      <c r="Q180" s="12"/>
      <c r="R180" s="12"/>
      <c r="S180" s="12"/>
      <c r="T180" s="12"/>
      <c r="U180" s="12"/>
      <c r="V180" s="12"/>
      <c r="W180" s="12"/>
      <c r="X180" s="12"/>
      <c r="Y180" s="12"/>
      <c r="Z180" s="12" t="s">
        <v>789</v>
      </c>
    </row>
    <row r="181" spans="1:26" ht="16.350000000000001" customHeight="1" x14ac:dyDescent="0.2">
      <c r="A181" s="12" t="s">
        <v>320</v>
      </c>
      <c r="B181" s="12" t="s">
        <v>321</v>
      </c>
      <c r="C181" s="12" t="s">
        <v>322</v>
      </c>
      <c r="D181" s="12" t="s">
        <v>157</v>
      </c>
      <c r="E181" s="12" t="s">
        <v>175</v>
      </c>
      <c r="F181" s="7">
        <v>44263</v>
      </c>
      <c r="G181" s="7">
        <f t="shared" si="0"/>
        <v>44994</v>
      </c>
      <c r="H181" s="12" t="s">
        <v>11</v>
      </c>
      <c r="I181" s="12" t="s">
        <v>16</v>
      </c>
      <c r="J181" s="12"/>
      <c r="K181" s="12"/>
      <c r="L181" s="12"/>
      <c r="M181" s="12"/>
      <c r="N181" s="12"/>
      <c r="O181" s="12"/>
      <c r="P181" s="12"/>
      <c r="Q181" s="12"/>
      <c r="R181" s="12"/>
      <c r="S181" s="12"/>
      <c r="T181" s="12"/>
      <c r="U181" s="12"/>
      <c r="V181" s="12"/>
      <c r="W181" s="12"/>
      <c r="X181" s="12"/>
      <c r="Y181" s="12"/>
      <c r="Z181" s="12" t="s">
        <v>789</v>
      </c>
    </row>
    <row r="182" spans="1:26" ht="16.350000000000001" customHeight="1" x14ac:dyDescent="0.2">
      <c r="A182" s="12" t="s">
        <v>323</v>
      </c>
      <c r="B182" s="12" t="s">
        <v>324</v>
      </c>
      <c r="C182" s="12" t="s">
        <v>325</v>
      </c>
      <c r="D182" s="12" t="s">
        <v>157</v>
      </c>
      <c r="E182" s="12" t="s">
        <v>175</v>
      </c>
      <c r="F182" s="7">
        <v>44263</v>
      </c>
      <c r="G182" s="7">
        <f t="shared" si="0"/>
        <v>44994</v>
      </c>
      <c r="H182" s="12" t="s">
        <v>11</v>
      </c>
      <c r="I182" s="12" t="s">
        <v>16</v>
      </c>
      <c r="J182" s="12"/>
      <c r="K182" s="12"/>
      <c r="L182" s="12"/>
      <c r="M182" s="12"/>
      <c r="N182" s="12"/>
      <c r="O182" s="12"/>
      <c r="P182" s="12"/>
      <c r="Q182" s="12"/>
      <c r="R182" s="12"/>
      <c r="S182" s="12"/>
      <c r="T182" s="12"/>
      <c r="U182" s="12"/>
      <c r="V182" s="12"/>
      <c r="W182" s="12"/>
      <c r="X182" s="12"/>
      <c r="Y182" s="12"/>
      <c r="Z182" s="12" t="s">
        <v>789</v>
      </c>
    </row>
    <row r="183" spans="1:26" ht="16.350000000000001" customHeight="1" x14ac:dyDescent="0.2">
      <c r="A183" s="12" t="s">
        <v>326</v>
      </c>
      <c r="B183" s="12" t="s">
        <v>327</v>
      </c>
      <c r="C183" s="12" t="s">
        <v>328</v>
      </c>
      <c r="D183" s="12" t="s">
        <v>157</v>
      </c>
      <c r="E183" s="12" t="s">
        <v>175</v>
      </c>
      <c r="F183" s="7">
        <v>44263</v>
      </c>
      <c r="G183" s="7">
        <f t="shared" si="0"/>
        <v>44994</v>
      </c>
      <c r="H183" s="12" t="s">
        <v>11</v>
      </c>
      <c r="I183" s="12" t="s">
        <v>16</v>
      </c>
      <c r="J183" s="12"/>
      <c r="K183" s="12"/>
      <c r="L183" s="12"/>
      <c r="M183" s="12"/>
      <c r="N183" s="12"/>
      <c r="O183" s="12"/>
      <c r="P183" s="12"/>
      <c r="Q183" s="12"/>
      <c r="R183" s="12"/>
      <c r="S183" s="12"/>
      <c r="T183" s="12"/>
      <c r="U183" s="12"/>
      <c r="V183" s="12"/>
      <c r="W183" s="12"/>
      <c r="X183" s="12"/>
      <c r="Y183" s="12"/>
      <c r="Z183" s="12" t="s">
        <v>789</v>
      </c>
    </row>
    <row r="184" spans="1:26" ht="16.350000000000001" customHeight="1" x14ac:dyDescent="0.2">
      <c r="A184" s="12" t="s">
        <v>329</v>
      </c>
      <c r="B184" s="12" t="s">
        <v>330</v>
      </c>
      <c r="C184" s="12" t="s">
        <v>331</v>
      </c>
      <c r="D184" s="12" t="s">
        <v>157</v>
      </c>
      <c r="E184" s="12" t="s">
        <v>170</v>
      </c>
      <c r="F184" s="7">
        <v>44334</v>
      </c>
      <c r="G184" s="7">
        <f t="shared" si="0"/>
        <v>45065</v>
      </c>
      <c r="H184" s="12" t="s">
        <v>11</v>
      </c>
      <c r="I184" s="12" t="s">
        <v>16</v>
      </c>
      <c r="J184" s="12"/>
      <c r="K184" s="12"/>
      <c r="L184" s="12"/>
      <c r="M184" s="12"/>
      <c r="N184" s="12"/>
      <c r="O184" s="12"/>
      <c r="P184" s="12"/>
      <c r="Q184" s="12"/>
      <c r="R184" s="12"/>
      <c r="S184" s="12"/>
      <c r="T184" s="12"/>
      <c r="U184" s="12"/>
      <c r="V184" s="12"/>
      <c r="W184" s="12"/>
      <c r="X184" s="12"/>
      <c r="Y184" s="12"/>
      <c r="Z184" s="12" t="s">
        <v>789</v>
      </c>
    </row>
    <row r="185" spans="1:26" ht="16.350000000000001" customHeight="1" x14ac:dyDescent="0.2">
      <c r="A185" s="12" t="s">
        <v>334</v>
      </c>
      <c r="B185" s="12" t="s">
        <v>335</v>
      </c>
      <c r="C185" s="12" t="s">
        <v>98</v>
      </c>
      <c r="D185" s="12" t="s">
        <v>157</v>
      </c>
      <c r="E185" s="12" t="s">
        <v>390</v>
      </c>
      <c r="F185" s="7">
        <v>44322</v>
      </c>
      <c r="G185" s="7">
        <f t="shared" si="0"/>
        <v>45053</v>
      </c>
      <c r="H185" s="12" t="s">
        <v>11</v>
      </c>
      <c r="I185" s="12" t="s">
        <v>10</v>
      </c>
      <c r="J185" s="12"/>
      <c r="K185" s="12"/>
      <c r="L185" s="12"/>
      <c r="M185" s="12"/>
      <c r="N185" s="12"/>
      <c r="O185" s="12"/>
      <c r="P185" s="12"/>
      <c r="Q185" s="12"/>
      <c r="R185" s="12"/>
      <c r="S185" s="12"/>
      <c r="T185" s="12"/>
      <c r="U185" s="12"/>
      <c r="V185" s="12"/>
      <c r="W185" s="12"/>
      <c r="X185" s="12"/>
      <c r="Y185" s="12"/>
      <c r="Z185" s="12" t="s">
        <v>789</v>
      </c>
    </row>
    <row r="186" spans="1:26" ht="16.350000000000001" customHeight="1" x14ac:dyDescent="0.2">
      <c r="A186" s="12" t="s">
        <v>336</v>
      </c>
      <c r="B186" s="12" t="s">
        <v>97</v>
      </c>
      <c r="C186" s="12" t="s">
        <v>98</v>
      </c>
      <c r="D186" s="12" t="s">
        <v>157</v>
      </c>
      <c r="E186" s="12" t="s">
        <v>390</v>
      </c>
      <c r="F186" s="7">
        <v>44322</v>
      </c>
      <c r="G186" s="7">
        <f t="shared" si="0"/>
        <v>45053</v>
      </c>
      <c r="H186" s="12" t="s">
        <v>11</v>
      </c>
      <c r="I186" s="12" t="s">
        <v>10</v>
      </c>
      <c r="J186" s="12"/>
      <c r="K186" s="12"/>
      <c r="L186" s="12"/>
      <c r="M186" s="12"/>
      <c r="N186" s="12"/>
      <c r="O186" s="12"/>
      <c r="P186" s="12"/>
      <c r="Q186" s="12"/>
      <c r="R186" s="12"/>
      <c r="S186" s="12"/>
      <c r="T186" s="12"/>
      <c r="U186" s="12"/>
      <c r="V186" s="12"/>
      <c r="W186" s="12"/>
      <c r="X186" s="12"/>
      <c r="Y186" s="12"/>
      <c r="Z186" s="12" t="s">
        <v>789</v>
      </c>
    </row>
    <row r="187" spans="1:26" ht="16.350000000000001" customHeight="1" x14ac:dyDescent="0.2">
      <c r="A187" s="12" t="s">
        <v>337</v>
      </c>
      <c r="B187" s="12" t="s">
        <v>338</v>
      </c>
      <c r="C187" s="12" t="s">
        <v>339</v>
      </c>
      <c r="D187" s="12" t="s">
        <v>157</v>
      </c>
      <c r="E187" s="12" t="s">
        <v>19</v>
      </c>
      <c r="F187" s="7">
        <v>44356</v>
      </c>
      <c r="G187" s="7">
        <f t="shared" si="0"/>
        <v>45087</v>
      </c>
      <c r="H187" s="12" t="s">
        <v>11</v>
      </c>
      <c r="I187" s="12" t="s">
        <v>10</v>
      </c>
      <c r="J187" s="12"/>
      <c r="K187" s="12"/>
      <c r="L187" s="12"/>
      <c r="M187" s="12"/>
      <c r="N187" s="12"/>
      <c r="O187" s="12"/>
      <c r="P187" s="12"/>
      <c r="Q187" s="12"/>
      <c r="R187" s="12"/>
      <c r="S187" s="12"/>
      <c r="T187" s="12"/>
      <c r="U187" s="12"/>
      <c r="V187" s="12"/>
      <c r="W187" s="12"/>
      <c r="X187" s="12"/>
      <c r="Y187" s="12"/>
      <c r="Z187" s="12" t="s">
        <v>789</v>
      </c>
    </row>
    <row r="188" spans="1:26" ht="16.350000000000001" customHeight="1" x14ac:dyDescent="0.2">
      <c r="A188" s="12" t="s">
        <v>340</v>
      </c>
      <c r="B188" s="12" t="s">
        <v>338</v>
      </c>
      <c r="C188" s="12" t="s">
        <v>408</v>
      </c>
      <c r="D188" s="12" t="s">
        <v>157</v>
      </c>
      <c r="E188" s="12" t="s">
        <v>19</v>
      </c>
      <c r="F188" s="7">
        <v>44356</v>
      </c>
      <c r="G188" s="7">
        <f t="shared" si="0"/>
        <v>45087</v>
      </c>
      <c r="H188" s="12" t="s">
        <v>11</v>
      </c>
      <c r="I188" s="12" t="s">
        <v>10</v>
      </c>
      <c r="J188" s="12"/>
      <c r="K188" s="12"/>
      <c r="L188" s="12"/>
      <c r="M188" s="12"/>
      <c r="N188" s="12"/>
      <c r="O188" s="12"/>
      <c r="P188" s="12"/>
      <c r="Q188" s="12"/>
      <c r="R188" s="12"/>
      <c r="S188" s="12"/>
      <c r="T188" s="12"/>
      <c r="U188" s="12"/>
      <c r="V188" s="12"/>
      <c r="W188" s="12"/>
      <c r="X188" s="12"/>
      <c r="Y188" s="12"/>
      <c r="Z188" s="12" t="s">
        <v>789</v>
      </c>
    </row>
    <row r="189" spans="1:26" ht="16.350000000000001" customHeight="1" x14ac:dyDescent="0.2">
      <c r="A189" s="12" t="s">
        <v>341</v>
      </c>
      <c r="B189" s="12" t="s">
        <v>338</v>
      </c>
      <c r="C189" s="12" t="s">
        <v>409</v>
      </c>
      <c r="D189" s="12" t="s">
        <v>157</v>
      </c>
      <c r="E189" s="12" t="s">
        <v>19</v>
      </c>
      <c r="F189" s="7">
        <v>44356</v>
      </c>
      <c r="G189" s="7">
        <f t="shared" si="0"/>
        <v>45087</v>
      </c>
      <c r="H189" s="12" t="s">
        <v>11</v>
      </c>
      <c r="I189" s="12" t="s">
        <v>10</v>
      </c>
      <c r="J189" s="12"/>
      <c r="K189" s="12"/>
      <c r="L189" s="12"/>
      <c r="M189" s="12"/>
      <c r="N189" s="12"/>
      <c r="O189" s="12"/>
      <c r="P189" s="12"/>
      <c r="Q189" s="12"/>
      <c r="R189" s="12"/>
      <c r="S189" s="12"/>
      <c r="T189" s="12"/>
      <c r="U189" s="12"/>
      <c r="V189" s="12"/>
      <c r="W189" s="12"/>
      <c r="X189" s="12"/>
      <c r="Y189" s="12"/>
      <c r="Z189" s="12" t="s">
        <v>789</v>
      </c>
    </row>
    <row r="190" spans="1:26" ht="16.350000000000001" customHeight="1" x14ac:dyDescent="0.2">
      <c r="A190" s="12" t="s">
        <v>794</v>
      </c>
      <c r="B190" s="12" t="s">
        <v>120</v>
      </c>
      <c r="C190" s="12" t="s">
        <v>407</v>
      </c>
      <c r="D190" s="12" t="s">
        <v>157</v>
      </c>
      <c r="E190" s="12" t="s">
        <v>19</v>
      </c>
      <c r="F190" s="7">
        <v>44197</v>
      </c>
      <c r="G190" s="7">
        <v>2601259</v>
      </c>
      <c r="H190" s="12" t="s">
        <v>2</v>
      </c>
      <c r="I190" s="12" t="s">
        <v>10</v>
      </c>
      <c r="J190" s="12" t="s">
        <v>795</v>
      </c>
      <c r="K190" s="12"/>
      <c r="L190" s="12"/>
      <c r="M190" s="12"/>
      <c r="N190" s="12"/>
      <c r="O190" s="12"/>
      <c r="P190" s="12"/>
      <c r="Q190" s="12"/>
      <c r="R190" s="12"/>
      <c r="S190" s="12"/>
      <c r="T190" s="12"/>
      <c r="U190" s="12"/>
      <c r="V190" s="12"/>
      <c r="W190" s="12"/>
      <c r="X190" s="12"/>
      <c r="Y190" s="12"/>
      <c r="Z190" s="12" t="s">
        <v>789</v>
      </c>
    </row>
    <row r="191" spans="1:26" ht="16.350000000000001" customHeight="1" x14ac:dyDescent="0.2">
      <c r="A191" s="12" t="s">
        <v>342</v>
      </c>
      <c r="B191" s="12" t="s">
        <v>120</v>
      </c>
      <c r="C191" s="12" t="s">
        <v>343</v>
      </c>
      <c r="D191" s="12" t="s">
        <v>157</v>
      </c>
      <c r="E191" s="12" t="s">
        <v>19</v>
      </c>
      <c r="F191" s="7">
        <v>44356</v>
      </c>
      <c r="G191" s="7">
        <f>F191+731</f>
        <v>45087</v>
      </c>
      <c r="H191" s="12" t="s">
        <v>11</v>
      </c>
      <c r="I191" s="12" t="s">
        <v>10</v>
      </c>
      <c r="J191" s="12"/>
      <c r="K191" s="12"/>
      <c r="L191" s="12"/>
      <c r="M191" s="12"/>
      <c r="N191" s="12"/>
      <c r="O191" s="12"/>
      <c r="P191" s="12"/>
      <c r="Q191" s="12"/>
      <c r="R191" s="12"/>
      <c r="S191" s="12"/>
      <c r="T191" s="12"/>
      <c r="U191" s="12"/>
      <c r="V191" s="12"/>
      <c r="W191" s="12"/>
      <c r="X191" s="12"/>
      <c r="Y191" s="12"/>
      <c r="Z191" s="12" t="s">
        <v>789</v>
      </c>
    </row>
    <row r="192" spans="1:26" ht="16.350000000000001" customHeight="1" x14ac:dyDescent="0.2">
      <c r="A192" s="12" t="s">
        <v>344</v>
      </c>
      <c r="B192" s="12" t="s">
        <v>120</v>
      </c>
      <c r="C192" s="12" t="s">
        <v>345</v>
      </c>
      <c r="D192" s="12" t="s">
        <v>157</v>
      </c>
      <c r="E192" s="12" t="s">
        <v>19</v>
      </c>
      <c r="F192" s="7">
        <v>44356</v>
      </c>
      <c r="G192" s="7">
        <f>F192+731</f>
        <v>45087</v>
      </c>
      <c r="H192" s="12" t="s">
        <v>11</v>
      </c>
      <c r="I192" s="12" t="s">
        <v>10</v>
      </c>
      <c r="J192" s="12"/>
      <c r="K192" s="12"/>
      <c r="L192" s="12"/>
      <c r="M192" s="12"/>
      <c r="N192" s="12"/>
      <c r="O192" s="12"/>
      <c r="P192" s="12"/>
      <c r="Q192" s="12"/>
      <c r="R192" s="12"/>
      <c r="S192" s="12"/>
      <c r="T192" s="12"/>
      <c r="U192" s="12"/>
      <c r="V192" s="12"/>
      <c r="W192" s="12"/>
      <c r="X192" s="12"/>
      <c r="Y192" s="12"/>
      <c r="Z192" s="12" t="s">
        <v>789</v>
      </c>
    </row>
    <row r="193" spans="1:37" ht="16.350000000000001" customHeight="1" x14ac:dyDescent="0.2">
      <c r="A193" s="12" t="s">
        <v>346</v>
      </c>
      <c r="B193" s="12" t="s">
        <v>120</v>
      </c>
      <c r="C193" s="12" t="s">
        <v>347</v>
      </c>
      <c r="D193" s="12" t="s">
        <v>157</v>
      </c>
      <c r="E193" s="12" t="s">
        <v>19</v>
      </c>
      <c r="F193" s="7">
        <v>44356</v>
      </c>
      <c r="G193" s="7">
        <f>F193+731</f>
        <v>45087</v>
      </c>
      <c r="H193" s="12" t="s">
        <v>11</v>
      </c>
      <c r="I193" s="12" t="s">
        <v>10</v>
      </c>
      <c r="J193" s="12"/>
      <c r="K193" s="12"/>
      <c r="L193" s="12"/>
      <c r="M193" s="12"/>
      <c r="N193" s="12"/>
      <c r="O193" s="12"/>
      <c r="P193" s="12"/>
      <c r="Q193" s="12"/>
      <c r="R193" s="12"/>
      <c r="S193" s="12"/>
      <c r="T193" s="12"/>
      <c r="U193" s="12"/>
      <c r="V193" s="12"/>
      <c r="W193" s="12"/>
      <c r="X193" s="12"/>
      <c r="Y193" s="12"/>
      <c r="Z193" s="12" t="s">
        <v>789</v>
      </c>
    </row>
    <row r="194" spans="1:37" ht="16.350000000000001" customHeight="1" x14ac:dyDescent="0.2">
      <c r="A194" s="12" t="s">
        <v>348</v>
      </c>
      <c r="B194" s="12" t="s">
        <v>111</v>
      </c>
      <c r="C194" s="12" t="s">
        <v>349</v>
      </c>
      <c r="D194" s="12" t="s">
        <v>157</v>
      </c>
      <c r="E194" s="12" t="s">
        <v>19</v>
      </c>
      <c r="F194" s="7">
        <v>44426</v>
      </c>
      <c r="G194" s="7" t="s">
        <v>606</v>
      </c>
      <c r="H194" s="12" t="s">
        <v>11</v>
      </c>
      <c r="I194" s="12" t="s">
        <v>10</v>
      </c>
      <c r="J194" s="12" t="s">
        <v>2</v>
      </c>
      <c r="K194" s="12"/>
      <c r="L194" s="12"/>
      <c r="M194" s="12"/>
      <c r="N194" s="12"/>
      <c r="O194" s="12"/>
      <c r="P194" s="12"/>
      <c r="Q194" s="12"/>
      <c r="R194" s="12"/>
      <c r="S194" s="12"/>
      <c r="T194" s="12"/>
      <c r="U194" s="12"/>
      <c r="V194" s="12"/>
      <c r="W194" s="12"/>
      <c r="X194" s="12"/>
      <c r="Y194" s="12"/>
      <c r="Z194" s="12" t="s">
        <v>789</v>
      </c>
    </row>
    <row r="195" spans="1:37" ht="16.350000000000001" customHeight="1" x14ac:dyDescent="0.2">
      <c r="A195" s="12" t="s">
        <v>350</v>
      </c>
      <c r="B195" s="12" t="s">
        <v>114</v>
      </c>
      <c r="C195" s="12" t="s">
        <v>351</v>
      </c>
      <c r="D195" s="12" t="s">
        <v>157</v>
      </c>
      <c r="E195" s="12" t="s">
        <v>19</v>
      </c>
      <c r="F195" s="7" t="s">
        <v>591</v>
      </c>
      <c r="G195" s="7" t="s">
        <v>592</v>
      </c>
      <c r="H195" s="12" t="s">
        <v>11</v>
      </c>
      <c r="I195" s="12" t="s">
        <v>10</v>
      </c>
      <c r="J195" s="12" t="s">
        <v>2</v>
      </c>
      <c r="K195" s="12"/>
      <c r="L195" s="12"/>
      <c r="M195" s="12"/>
      <c r="N195" s="12"/>
      <c r="O195" s="12"/>
      <c r="P195" s="12"/>
      <c r="Q195" s="12"/>
      <c r="R195" s="12"/>
      <c r="S195" s="12"/>
      <c r="T195" s="12"/>
      <c r="U195" s="12"/>
      <c r="V195" s="12"/>
      <c r="W195" s="12"/>
      <c r="X195" s="12"/>
      <c r="Y195" s="12"/>
      <c r="Z195" s="12" t="s">
        <v>789</v>
      </c>
      <c r="AK195" s="1" t="s">
        <v>591</v>
      </c>
    </row>
    <row r="196" spans="1:37" ht="16.350000000000001" customHeight="1" x14ac:dyDescent="0.2">
      <c r="A196" s="12" t="s">
        <v>352</v>
      </c>
      <c r="B196" s="12" t="s">
        <v>117</v>
      </c>
      <c r="C196" s="12" t="s">
        <v>353</v>
      </c>
      <c r="D196" s="12" t="s">
        <v>157</v>
      </c>
      <c r="E196" s="12" t="s">
        <v>19</v>
      </c>
      <c r="F196" s="7" t="s">
        <v>591</v>
      </c>
      <c r="G196" s="7" t="s">
        <v>592</v>
      </c>
      <c r="H196" s="12" t="s">
        <v>11</v>
      </c>
      <c r="I196" s="12" t="s">
        <v>10</v>
      </c>
      <c r="J196" s="12" t="s">
        <v>2</v>
      </c>
      <c r="K196" s="12"/>
      <c r="L196" s="12"/>
      <c r="M196" s="12"/>
      <c r="N196" s="12"/>
      <c r="O196" s="12"/>
      <c r="P196" s="12"/>
      <c r="Q196" s="12"/>
      <c r="R196" s="12"/>
      <c r="S196" s="12"/>
      <c r="T196" s="12"/>
      <c r="U196" s="12"/>
      <c r="V196" s="12"/>
      <c r="W196" s="12"/>
      <c r="X196" s="12"/>
      <c r="Y196" s="12"/>
      <c r="Z196" s="12" t="s">
        <v>789</v>
      </c>
      <c r="AK196" s="1" t="s">
        <v>591</v>
      </c>
    </row>
    <row r="197" spans="1:37" ht="16.350000000000001" customHeight="1" x14ac:dyDescent="0.2">
      <c r="A197" s="12" t="s">
        <v>354</v>
      </c>
      <c r="B197" s="12" t="s">
        <v>355</v>
      </c>
      <c r="C197" s="12" t="s">
        <v>356</v>
      </c>
      <c r="D197" s="12" t="s">
        <v>157</v>
      </c>
      <c r="E197" s="12" t="s">
        <v>19</v>
      </c>
      <c r="F197" s="7" t="s">
        <v>729</v>
      </c>
      <c r="G197" s="7" t="s">
        <v>730</v>
      </c>
      <c r="H197" s="12" t="s">
        <v>11</v>
      </c>
      <c r="I197" s="12" t="s">
        <v>10</v>
      </c>
      <c r="J197" s="12" t="s">
        <v>735</v>
      </c>
      <c r="K197" s="12"/>
      <c r="L197" s="12"/>
      <c r="M197" s="12"/>
      <c r="N197" s="12"/>
      <c r="O197" s="12"/>
      <c r="P197" s="12"/>
      <c r="Q197" s="12"/>
      <c r="R197" s="12"/>
      <c r="S197" s="12"/>
      <c r="T197" s="12"/>
      <c r="U197" s="12"/>
      <c r="V197" s="12"/>
      <c r="W197" s="12"/>
      <c r="X197" s="12"/>
      <c r="Y197" s="12"/>
      <c r="Z197" s="12" t="s">
        <v>789</v>
      </c>
      <c r="AK197" s="1" t="s">
        <v>729</v>
      </c>
    </row>
    <row r="198" spans="1:37" ht="16.350000000000001" customHeight="1" x14ac:dyDescent="0.2">
      <c r="A198" s="12" t="s">
        <v>357</v>
      </c>
      <c r="B198" s="12">
        <v>1025429</v>
      </c>
      <c r="C198" s="12" t="s">
        <v>358</v>
      </c>
      <c r="D198" s="12" t="s">
        <v>157</v>
      </c>
      <c r="E198" s="12" t="s">
        <v>19</v>
      </c>
      <c r="F198" s="7" t="s">
        <v>633</v>
      </c>
      <c r="G198" s="7" t="s">
        <v>634</v>
      </c>
      <c r="H198" s="12" t="s">
        <v>11</v>
      </c>
      <c r="I198" s="12" t="s">
        <v>391</v>
      </c>
      <c r="J198" s="12" t="s">
        <v>413</v>
      </c>
      <c r="K198" s="12"/>
      <c r="L198" s="12"/>
      <c r="M198" s="12"/>
      <c r="N198" s="12"/>
      <c r="O198" s="12"/>
      <c r="P198" s="12"/>
      <c r="Q198" s="12"/>
      <c r="R198" s="12"/>
      <c r="S198" s="12"/>
      <c r="T198" s="12"/>
      <c r="U198" s="12"/>
      <c r="V198" s="12"/>
      <c r="W198" s="12"/>
      <c r="X198" s="12"/>
      <c r="Y198" s="12"/>
      <c r="Z198" s="12" t="s">
        <v>789</v>
      </c>
      <c r="AK198" s="1" t="s">
        <v>633</v>
      </c>
    </row>
    <row r="199" spans="1:37" ht="16.350000000000001" customHeight="1" x14ac:dyDescent="0.2">
      <c r="A199" s="12" t="s">
        <v>362</v>
      </c>
      <c r="B199" s="12">
        <v>1025134</v>
      </c>
      <c r="C199" s="12" t="s">
        <v>363</v>
      </c>
      <c r="D199" s="12" t="s">
        <v>157</v>
      </c>
      <c r="E199" s="12" t="s">
        <v>19</v>
      </c>
      <c r="F199" s="7" t="s">
        <v>518</v>
      </c>
      <c r="G199" s="7" t="s">
        <v>663</v>
      </c>
      <c r="H199" s="12" t="s">
        <v>11</v>
      </c>
      <c r="I199" s="12" t="s">
        <v>391</v>
      </c>
      <c r="J199" s="12" t="s">
        <v>414</v>
      </c>
      <c r="K199" s="12"/>
      <c r="L199" s="12"/>
      <c r="M199" s="12"/>
      <c r="N199" s="12"/>
      <c r="O199" s="12"/>
      <c r="P199" s="12"/>
      <c r="Q199" s="12"/>
      <c r="R199" s="12"/>
      <c r="S199" s="12"/>
      <c r="T199" s="12"/>
      <c r="U199" s="12"/>
      <c r="V199" s="12"/>
      <c r="W199" s="12"/>
      <c r="X199" s="12"/>
      <c r="Y199" s="12"/>
      <c r="Z199" s="12" t="s">
        <v>789</v>
      </c>
      <c r="AK199" s="1" t="s">
        <v>518</v>
      </c>
    </row>
    <row r="200" spans="1:37" ht="16.350000000000001" customHeight="1" x14ac:dyDescent="0.2">
      <c r="A200" s="12" t="s">
        <v>364</v>
      </c>
      <c r="B200" s="12" t="s">
        <v>365</v>
      </c>
      <c r="C200" s="12" t="s">
        <v>366</v>
      </c>
      <c r="D200" s="12" t="s">
        <v>157</v>
      </c>
      <c r="E200" s="12" t="s">
        <v>19</v>
      </c>
      <c r="F200" s="7" t="s">
        <v>686</v>
      </c>
      <c r="G200" s="7" t="s">
        <v>687</v>
      </c>
      <c r="H200" s="12" t="s">
        <v>11</v>
      </c>
      <c r="I200" s="12" t="s">
        <v>16</v>
      </c>
      <c r="J200" s="12" t="s">
        <v>2</v>
      </c>
      <c r="K200" s="12"/>
      <c r="L200" s="12"/>
      <c r="M200" s="12"/>
      <c r="N200" s="12"/>
      <c r="O200" s="12"/>
      <c r="P200" s="12"/>
      <c r="Q200" s="12"/>
      <c r="R200" s="12"/>
      <c r="S200" s="12"/>
      <c r="T200" s="12"/>
      <c r="U200" s="12"/>
      <c r="V200" s="12"/>
      <c r="W200" s="12"/>
      <c r="X200" s="12"/>
      <c r="Y200" s="12"/>
      <c r="Z200" s="12" t="s">
        <v>789</v>
      </c>
      <c r="AK200" s="1" t="s">
        <v>686</v>
      </c>
    </row>
    <row r="201" spans="1:37" ht="16.350000000000001" customHeight="1" x14ac:dyDescent="0.2">
      <c r="A201" s="12" t="s">
        <v>367</v>
      </c>
      <c r="B201" s="12">
        <v>5268572</v>
      </c>
      <c r="C201" s="12" t="s">
        <v>368</v>
      </c>
      <c r="D201" s="12" t="s">
        <v>157</v>
      </c>
      <c r="E201" s="12" t="s">
        <v>19</v>
      </c>
      <c r="F201" s="7" t="s">
        <v>729</v>
      </c>
      <c r="G201" s="7" t="s">
        <v>730</v>
      </c>
      <c r="H201" s="12" t="s">
        <v>11</v>
      </c>
      <c r="I201" s="12" t="s">
        <v>10</v>
      </c>
      <c r="J201" s="12" t="s">
        <v>2</v>
      </c>
      <c r="K201" s="12"/>
      <c r="L201" s="12"/>
      <c r="M201" s="12"/>
      <c r="N201" s="12"/>
      <c r="O201" s="12"/>
      <c r="P201" s="12"/>
      <c r="Q201" s="12"/>
      <c r="R201" s="12"/>
      <c r="S201" s="12"/>
      <c r="T201" s="12"/>
      <c r="U201" s="12"/>
      <c r="V201" s="12"/>
      <c r="W201" s="12"/>
      <c r="X201" s="12"/>
      <c r="Y201" s="12"/>
      <c r="Z201" s="12" t="s">
        <v>789</v>
      </c>
      <c r="AK201" s="1" t="s">
        <v>729</v>
      </c>
    </row>
    <row r="202" spans="1:37" ht="16.350000000000001" customHeight="1" x14ac:dyDescent="0.2">
      <c r="A202" s="12" t="s">
        <v>369</v>
      </c>
      <c r="B202" s="12" t="s">
        <v>365</v>
      </c>
      <c r="C202" s="12" t="s">
        <v>366</v>
      </c>
      <c r="D202" s="12" t="s">
        <v>157</v>
      </c>
      <c r="E202" s="12" t="s">
        <v>19</v>
      </c>
      <c r="F202" s="7" t="s">
        <v>689</v>
      </c>
      <c r="G202" s="7" t="s">
        <v>690</v>
      </c>
      <c r="H202" s="12" t="s">
        <v>11</v>
      </c>
      <c r="I202" s="12" t="s">
        <v>10</v>
      </c>
      <c r="J202" s="12" t="s">
        <v>2</v>
      </c>
      <c r="K202" s="12"/>
      <c r="L202" s="12"/>
      <c r="M202" s="12"/>
      <c r="N202" s="12"/>
      <c r="O202" s="12"/>
      <c r="P202" s="12"/>
      <c r="Q202" s="12"/>
      <c r="R202" s="12"/>
      <c r="S202" s="12"/>
      <c r="T202" s="12"/>
      <c r="U202" s="12"/>
      <c r="V202" s="12"/>
      <c r="W202" s="12"/>
      <c r="X202" s="12"/>
      <c r="Y202" s="12"/>
      <c r="Z202" s="12" t="s">
        <v>789</v>
      </c>
      <c r="AK202" s="1" t="s">
        <v>689</v>
      </c>
    </row>
    <row r="203" spans="1:37" ht="16.350000000000001" customHeight="1" x14ac:dyDescent="0.2">
      <c r="A203" s="12" t="s">
        <v>370</v>
      </c>
      <c r="B203" s="12" t="s">
        <v>127</v>
      </c>
      <c r="C203" s="12" t="s">
        <v>371</v>
      </c>
      <c r="D203" s="12" t="s">
        <v>157</v>
      </c>
      <c r="E203" s="12" t="s">
        <v>19</v>
      </c>
      <c r="F203" s="7" t="s">
        <v>702</v>
      </c>
      <c r="G203" s="7" t="s">
        <v>703</v>
      </c>
      <c r="H203" s="12" t="s">
        <v>11</v>
      </c>
      <c r="I203" s="12" t="s">
        <v>16</v>
      </c>
      <c r="J203" s="12" t="s">
        <v>2</v>
      </c>
      <c r="K203" s="12"/>
      <c r="L203" s="12"/>
      <c r="M203" s="12"/>
      <c r="N203" s="12"/>
      <c r="O203" s="12"/>
      <c r="P203" s="12"/>
      <c r="Q203" s="12"/>
      <c r="R203" s="12"/>
      <c r="S203" s="12"/>
      <c r="T203" s="12"/>
      <c r="U203" s="12"/>
      <c r="V203" s="12"/>
      <c r="W203" s="12"/>
      <c r="X203" s="12"/>
      <c r="Y203" s="12"/>
      <c r="Z203" s="12" t="s">
        <v>789</v>
      </c>
      <c r="AK203" s="1" t="s">
        <v>702</v>
      </c>
    </row>
    <row r="204" spans="1:37" ht="16.350000000000001" customHeight="1" x14ac:dyDescent="0.2">
      <c r="A204" s="12" t="s">
        <v>372</v>
      </c>
      <c r="B204" s="12">
        <v>1025320</v>
      </c>
      <c r="C204" s="12" t="s">
        <v>125</v>
      </c>
      <c r="D204" s="12" t="s">
        <v>157</v>
      </c>
      <c r="E204" s="12" t="s">
        <v>19</v>
      </c>
      <c r="F204" s="7" t="s">
        <v>722</v>
      </c>
      <c r="G204" s="7" t="s">
        <v>723</v>
      </c>
      <c r="H204" s="12" t="s">
        <v>11</v>
      </c>
      <c r="I204" s="12" t="s">
        <v>10</v>
      </c>
      <c r="J204" s="12" t="s">
        <v>2</v>
      </c>
      <c r="K204" s="12"/>
      <c r="L204" s="12"/>
      <c r="M204" s="12"/>
      <c r="N204" s="12"/>
      <c r="O204" s="12"/>
      <c r="P204" s="12"/>
      <c r="Q204" s="12"/>
      <c r="R204" s="12"/>
      <c r="S204" s="12"/>
      <c r="T204" s="12"/>
      <c r="U204" s="12"/>
      <c r="V204" s="12"/>
      <c r="W204" s="12"/>
      <c r="X204" s="12"/>
      <c r="Y204" s="12"/>
      <c r="Z204" s="12" t="s">
        <v>789</v>
      </c>
      <c r="AK204" s="1" t="s">
        <v>722</v>
      </c>
    </row>
    <row r="205" spans="1:37" ht="16.350000000000001" customHeight="1" x14ac:dyDescent="0.2">
      <c r="A205" s="12" t="s">
        <v>373</v>
      </c>
      <c r="B205" s="12">
        <v>1025271</v>
      </c>
      <c r="C205" s="12" t="s">
        <v>130</v>
      </c>
      <c r="D205" s="12" t="s">
        <v>157</v>
      </c>
      <c r="E205" s="12" t="s">
        <v>19</v>
      </c>
      <c r="F205" s="7" t="s">
        <v>722</v>
      </c>
      <c r="G205" s="7" t="s">
        <v>723</v>
      </c>
      <c r="H205" s="12" t="s">
        <v>11</v>
      </c>
      <c r="I205" s="12" t="s">
        <v>10</v>
      </c>
      <c r="J205" s="12" t="s">
        <v>2</v>
      </c>
      <c r="K205" s="12"/>
      <c r="L205" s="12"/>
      <c r="M205" s="12"/>
      <c r="N205" s="12"/>
      <c r="O205" s="12"/>
      <c r="P205" s="12"/>
      <c r="Q205" s="12"/>
      <c r="R205" s="12"/>
      <c r="S205" s="12"/>
      <c r="T205" s="12"/>
      <c r="U205" s="12"/>
      <c r="V205" s="12"/>
      <c r="W205" s="12"/>
      <c r="X205" s="12"/>
      <c r="Y205" s="12"/>
      <c r="Z205" s="12" t="s">
        <v>789</v>
      </c>
      <c r="AK205" s="1" t="s">
        <v>722</v>
      </c>
    </row>
    <row r="206" spans="1:37" ht="16.350000000000001" customHeight="1" x14ac:dyDescent="0.2">
      <c r="A206" s="12" t="s">
        <v>374</v>
      </c>
      <c r="B206" s="12" t="s">
        <v>375</v>
      </c>
      <c r="C206" s="12" t="s">
        <v>376</v>
      </c>
      <c r="D206" s="12" t="s">
        <v>157</v>
      </c>
      <c r="E206" s="12" t="s">
        <v>19</v>
      </c>
      <c r="F206" s="7" t="s">
        <v>722</v>
      </c>
      <c r="G206" s="7" t="s">
        <v>723</v>
      </c>
      <c r="H206" s="12" t="s">
        <v>11</v>
      </c>
      <c r="I206" s="12" t="s">
        <v>16</v>
      </c>
      <c r="J206" s="12" t="s">
        <v>2</v>
      </c>
      <c r="K206" s="12"/>
      <c r="L206" s="12"/>
      <c r="M206" s="12"/>
      <c r="N206" s="12"/>
      <c r="O206" s="12"/>
      <c r="P206" s="12"/>
      <c r="Q206" s="12"/>
      <c r="R206" s="12"/>
      <c r="S206" s="12"/>
      <c r="T206" s="12"/>
      <c r="U206" s="12"/>
      <c r="V206" s="12"/>
      <c r="W206" s="12"/>
      <c r="X206" s="12"/>
      <c r="Y206" s="12"/>
      <c r="Z206" s="12" t="s">
        <v>789</v>
      </c>
      <c r="AK206" s="1" t="s">
        <v>722</v>
      </c>
    </row>
    <row r="207" spans="1:37" ht="16.350000000000001" customHeight="1" x14ac:dyDescent="0.2">
      <c r="A207" s="12" t="s">
        <v>377</v>
      </c>
      <c r="B207" s="12" t="s">
        <v>378</v>
      </c>
      <c r="C207" s="12" t="s">
        <v>379</v>
      </c>
      <c r="D207" s="12" t="s">
        <v>157</v>
      </c>
      <c r="E207" s="12" t="s">
        <v>19</v>
      </c>
      <c r="F207" s="7" t="s">
        <v>704</v>
      </c>
      <c r="G207" s="7" t="s">
        <v>703</v>
      </c>
      <c r="H207" s="12" t="s">
        <v>11</v>
      </c>
      <c r="I207" s="12" t="s">
        <v>16</v>
      </c>
      <c r="J207" s="12" t="s">
        <v>2</v>
      </c>
      <c r="K207" s="12"/>
      <c r="L207" s="12"/>
      <c r="M207" s="12"/>
      <c r="N207" s="12"/>
      <c r="O207" s="12"/>
      <c r="P207" s="12"/>
      <c r="Q207" s="12"/>
      <c r="R207" s="12"/>
      <c r="S207" s="12"/>
      <c r="T207" s="12"/>
      <c r="U207" s="12"/>
      <c r="V207" s="12"/>
      <c r="W207" s="12"/>
      <c r="X207" s="12"/>
      <c r="Y207" s="12"/>
      <c r="Z207" s="12" t="s">
        <v>789</v>
      </c>
      <c r="AK207" s="1" t="s">
        <v>704</v>
      </c>
    </row>
    <row r="208" spans="1:37" ht="16.350000000000001" customHeight="1" x14ac:dyDescent="0.2">
      <c r="A208" s="12" t="s">
        <v>800</v>
      </c>
      <c r="B208" s="12">
        <v>5271731</v>
      </c>
      <c r="C208" s="12" t="s">
        <v>801</v>
      </c>
      <c r="D208" s="12" t="s">
        <v>157</v>
      </c>
      <c r="E208" s="12" t="s">
        <v>19</v>
      </c>
      <c r="F208" s="7">
        <v>44197</v>
      </c>
      <c r="G208" s="7">
        <v>2601259</v>
      </c>
      <c r="H208" s="12" t="s">
        <v>2</v>
      </c>
      <c r="I208" s="12" t="s">
        <v>16</v>
      </c>
      <c r="J208" s="12" t="s">
        <v>802</v>
      </c>
      <c r="K208" s="12"/>
      <c r="L208" s="12"/>
      <c r="M208" s="12"/>
      <c r="N208" s="12"/>
      <c r="O208" s="12"/>
      <c r="P208" s="12"/>
      <c r="Q208" s="12"/>
      <c r="R208" s="12"/>
      <c r="S208" s="12"/>
      <c r="T208" s="12"/>
      <c r="U208" s="12"/>
      <c r="V208" s="12"/>
      <c r="W208" s="12"/>
      <c r="X208" s="12"/>
      <c r="Y208" s="12"/>
      <c r="Z208" s="12" t="s">
        <v>789</v>
      </c>
    </row>
    <row r="209" spans="1:39" ht="16.350000000000001" hidden="1" customHeight="1" x14ac:dyDescent="0.2">
      <c r="A209" s="12" t="s">
        <v>380</v>
      </c>
      <c r="B209" s="12" t="s">
        <v>863</v>
      </c>
      <c r="C209" s="12" t="s">
        <v>381</v>
      </c>
      <c r="D209" s="12" t="s">
        <v>157</v>
      </c>
      <c r="E209" s="12" t="s">
        <v>19</v>
      </c>
      <c r="F209" s="7" t="s">
        <v>750</v>
      </c>
      <c r="G209" s="7" t="s">
        <v>752</v>
      </c>
      <c r="H209" s="12" t="s">
        <v>11</v>
      </c>
      <c r="I209" s="12" t="s">
        <v>10</v>
      </c>
      <c r="J209" s="12" t="s">
        <v>751</v>
      </c>
      <c r="K209" s="12"/>
      <c r="L209" s="12"/>
      <c r="M209" s="12"/>
      <c r="N209" s="12"/>
      <c r="O209" s="12"/>
      <c r="P209" s="12"/>
      <c r="Q209" s="12"/>
      <c r="R209" s="12"/>
      <c r="S209" s="12"/>
      <c r="T209" s="12"/>
      <c r="U209" s="12"/>
      <c r="V209" s="12"/>
      <c r="W209" s="12"/>
      <c r="X209" s="12"/>
      <c r="Y209" s="12"/>
      <c r="Z209" s="12" t="s">
        <v>593</v>
      </c>
      <c r="AA209" s="1" t="s">
        <v>2</v>
      </c>
      <c r="AB209" s="1" t="s">
        <v>2</v>
      </c>
      <c r="AC209" s="1" t="s">
        <v>2</v>
      </c>
      <c r="AD209" s="1" t="s">
        <v>2</v>
      </c>
      <c r="AE209" s="1" t="s">
        <v>2</v>
      </c>
      <c r="AF209" s="1" t="s">
        <v>2</v>
      </c>
      <c r="AG209" s="1" t="s">
        <v>2</v>
      </c>
      <c r="AH209" s="1" t="s">
        <v>2</v>
      </c>
      <c r="AI209" s="1" t="s">
        <v>2</v>
      </c>
      <c r="AJ209" s="1" t="s">
        <v>2</v>
      </c>
      <c r="AK209" s="1" t="s">
        <v>750</v>
      </c>
      <c r="AL209" s="9">
        <v>44901.363310185188</v>
      </c>
      <c r="AM209" s="9">
        <v>44901.361539351848</v>
      </c>
    </row>
    <row r="210" spans="1:39" ht="16.350000000000001" customHeight="1" x14ac:dyDescent="0.2">
      <c r="A210" s="12" t="s">
        <v>796</v>
      </c>
      <c r="B210" s="12" t="s">
        <v>365</v>
      </c>
      <c r="C210" s="12" t="s">
        <v>366</v>
      </c>
      <c r="D210" s="12" t="s">
        <v>157</v>
      </c>
      <c r="E210" s="12" t="s">
        <v>19</v>
      </c>
      <c r="F210" s="7">
        <v>44197</v>
      </c>
      <c r="G210" s="7">
        <v>2601259</v>
      </c>
      <c r="H210" s="12" t="s">
        <v>2</v>
      </c>
      <c r="I210" s="12" t="s">
        <v>16</v>
      </c>
      <c r="J210" s="12" t="s">
        <v>797</v>
      </c>
      <c r="K210" s="12"/>
      <c r="L210" s="12"/>
      <c r="M210" s="12"/>
      <c r="N210" s="12"/>
      <c r="O210" s="12"/>
      <c r="P210" s="12"/>
      <c r="Q210" s="12"/>
      <c r="R210" s="12"/>
      <c r="S210" s="12"/>
      <c r="T210" s="12"/>
      <c r="U210" s="12"/>
      <c r="V210" s="12"/>
      <c r="W210" s="12"/>
      <c r="X210" s="12"/>
      <c r="Y210" s="12"/>
      <c r="Z210" s="12" t="s">
        <v>789</v>
      </c>
    </row>
    <row r="211" spans="1:39" ht="16.350000000000001" customHeight="1" x14ac:dyDescent="0.2">
      <c r="A211" s="12" t="s">
        <v>386</v>
      </c>
      <c r="B211" s="12" t="s">
        <v>621</v>
      </c>
      <c r="C211" s="12" t="s">
        <v>387</v>
      </c>
      <c r="D211" s="12" t="s">
        <v>157</v>
      </c>
      <c r="E211" s="12" t="s">
        <v>19</v>
      </c>
      <c r="F211" s="7">
        <v>44489</v>
      </c>
      <c r="G211" s="7">
        <f>F211+731</f>
        <v>45220</v>
      </c>
      <c r="H211" s="12" t="s">
        <v>11</v>
      </c>
      <c r="I211" s="12" t="s">
        <v>16</v>
      </c>
      <c r="J211" s="12"/>
      <c r="K211" s="12"/>
      <c r="L211" s="12"/>
      <c r="M211" s="12"/>
      <c r="N211" s="12"/>
      <c r="O211" s="12"/>
      <c r="P211" s="12"/>
      <c r="Q211" s="12"/>
      <c r="R211" s="12"/>
      <c r="S211" s="12"/>
      <c r="T211" s="12"/>
      <c r="U211" s="12"/>
      <c r="V211" s="12"/>
      <c r="W211" s="12"/>
      <c r="X211" s="12"/>
      <c r="Y211" s="12"/>
      <c r="Z211" s="12" t="s">
        <v>789</v>
      </c>
    </row>
    <row r="212" spans="1:39" ht="16.350000000000001" customHeight="1" x14ac:dyDescent="0.2">
      <c r="A212" s="12" t="s">
        <v>748</v>
      </c>
      <c r="B212" s="12" t="s">
        <v>502</v>
      </c>
      <c r="C212" s="12" t="s">
        <v>508</v>
      </c>
      <c r="D212" s="12" t="s">
        <v>462</v>
      </c>
      <c r="E212" s="12" t="s">
        <v>425</v>
      </c>
      <c r="F212" s="7" t="s">
        <v>866</v>
      </c>
      <c r="G212" s="7" t="s">
        <v>749</v>
      </c>
      <c r="H212" s="12" t="s">
        <v>11</v>
      </c>
      <c r="I212" s="12" t="s">
        <v>20</v>
      </c>
      <c r="J212" s="12" t="s">
        <v>464</v>
      </c>
      <c r="K212" s="12"/>
      <c r="L212" s="12"/>
      <c r="M212" s="12"/>
      <c r="N212" s="12"/>
      <c r="O212" s="12"/>
      <c r="P212" s="12"/>
      <c r="Q212" s="12"/>
      <c r="R212" s="12"/>
      <c r="S212" s="12"/>
      <c r="T212" s="12"/>
      <c r="U212" s="12"/>
      <c r="V212" s="12"/>
      <c r="W212" s="12"/>
      <c r="X212" s="12"/>
      <c r="Y212" s="12"/>
      <c r="Z212" s="12" t="s">
        <v>789</v>
      </c>
      <c r="AA212" s="1" t="s">
        <v>2</v>
      </c>
      <c r="AB212" s="1" t="s">
        <v>2</v>
      </c>
      <c r="AC212" s="1" t="s">
        <v>2</v>
      </c>
      <c r="AD212" s="1" t="s">
        <v>2</v>
      </c>
      <c r="AE212" s="1" t="s">
        <v>2</v>
      </c>
      <c r="AF212" s="1" t="s">
        <v>2</v>
      </c>
      <c r="AG212" s="1" t="s">
        <v>2</v>
      </c>
      <c r="AH212" s="1" t="s">
        <v>2</v>
      </c>
      <c r="AI212" s="1" t="s">
        <v>2</v>
      </c>
      <c r="AJ212" s="1" t="s">
        <v>2</v>
      </c>
      <c r="AK212" s="1">
        <v>44844</v>
      </c>
      <c r="AL212" s="9">
        <v>44902.369050925925</v>
      </c>
      <c r="AM212" s="9">
        <v>44902.369444444441</v>
      </c>
    </row>
    <row r="213" spans="1:39" ht="16.350000000000001" hidden="1" customHeight="1" x14ac:dyDescent="0.2">
      <c r="A213" s="12" t="s">
        <v>194</v>
      </c>
      <c r="B213" s="12" t="s">
        <v>195</v>
      </c>
      <c r="C213" s="12" t="s">
        <v>196</v>
      </c>
      <c r="D213" s="12" t="s">
        <v>157</v>
      </c>
      <c r="E213" s="12" t="s">
        <v>175</v>
      </c>
      <c r="F213" s="7" t="s">
        <v>750</v>
      </c>
      <c r="G213" s="7" t="s">
        <v>752</v>
      </c>
      <c r="H213" s="12" t="s">
        <v>11</v>
      </c>
      <c r="I213" s="12" t="s">
        <v>16</v>
      </c>
      <c r="J213" s="12" t="s">
        <v>2</v>
      </c>
      <c r="K213" s="12"/>
      <c r="L213" s="12"/>
      <c r="M213" s="12"/>
      <c r="N213" s="12"/>
      <c r="O213" s="12"/>
      <c r="P213" s="12"/>
      <c r="Q213" s="12"/>
      <c r="R213" s="12"/>
      <c r="S213" s="12"/>
      <c r="T213" s="12"/>
      <c r="U213" s="12"/>
      <c r="V213" s="12"/>
      <c r="W213" s="12"/>
      <c r="X213" s="12"/>
      <c r="Y213" s="12"/>
      <c r="Z213" s="12" t="s">
        <v>643</v>
      </c>
      <c r="AK213" s="1" t="s">
        <v>750</v>
      </c>
    </row>
    <row r="214" spans="1:39" ht="16.350000000000001" customHeight="1" x14ac:dyDescent="0.2">
      <c r="A214" s="12" t="s">
        <v>388</v>
      </c>
      <c r="B214" s="12" t="s">
        <v>410</v>
      </c>
      <c r="C214" s="12" t="s">
        <v>123</v>
      </c>
      <c r="D214" s="12" t="s">
        <v>157</v>
      </c>
      <c r="E214" s="12" t="s">
        <v>19</v>
      </c>
      <c r="F214" s="7" t="s">
        <v>411</v>
      </c>
      <c r="G214" s="7" t="s">
        <v>412</v>
      </c>
      <c r="H214" s="12" t="s">
        <v>11</v>
      </c>
      <c r="I214" s="12" t="s">
        <v>20</v>
      </c>
      <c r="J214" s="12" t="s">
        <v>415</v>
      </c>
      <c r="K214" s="12"/>
      <c r="L214" s="12"/>
      <c r="M214" s="12"/>
      <c r="N214" s="12"/>
      <c r="O214" s="12"/>
      <c r="P214" s="12"/>
      <c r="Q214" s="12"/>
      <c r="R214" s="12"/>
      <c r="S214" s="12"/>
      <c r="T214" s="12"/>
      <c r="U214" s="12"/>
      <c r="V214" s="12"/>
      <c r="W214" s="12"/>
      <c r="X214" s="12"/>
      <c r="Y214" s="12"/>
      <c r="Z214" s="12" t="s">
        <v>789</v>
      </c>
      <c r="AK214" s="1" t="s">
        <v>411</v>
      </c>
    </row>
    <row r="215" spans="1:39" ht="16.350000000000001" customHeight="1" x14ac:dyDescent="0.2">
      <c r="A215" s="12" t="s">
        <v>581</v>
      </c>
      <c r="B215" s="12">
        <v>58900563</v>
      </c>
      <c r="C215" s="12" t="s">
        <v>582</v>
      </c>
      <c r="D215" s="12" t="s">
        <v>157</v>
      </c>
      <c r="E215" s="12" t="s">
        <v>7</v>
      </c>
      <c r="F215" s="7" t="s">
        <v>680</v>
      </c>
      <c r="G215" s="7" t="s">
        <v>681</v>
      </c>
      <c r="H215" s="12" t="s">
        <v>11</v>
      </c>
      <c r="I215" s="12" t="s">
        <v>16</v>
      </c>
      <c r="J215" s="12" t="s">
        <v>2</v>
      </c>
      <c r="K215" s="12"/>
      <c r="L215" s="12"/>
      <c r="M215" s="12"/>
      <c r="N215" s="12"/>
      <c r="O215" s="12"/>
      <c r="P215" s="12"/>
      <c r="Q215" s="12"/>
      <c r="R215" s="12"/>
      <c r="S215" s="12"/>
      <c r="T215" s="12"/>
      <c r="U215" s="12"/>
      <c r="V215" s="12"/>
      <c r="W215" s="12"/>
      <c r="X215" s="12"/>
      <c r="Y215" s="12"/>
      <c r="Z215" s="12" t="s">
        <v>789</v>
      </c>
      <c r="AK215" s="1" t="s">
        <v>680</v>
      </c>
    </row>
    <row r="216" spans="1:39" ht="16.350000000000001" customHeight="1" x14ac:dyDescent="0.2">
      <c r="A216" s="12" t="s">
        <v>616</v>
      </c>
      <c r="B216" s="12">
        <v>58900526</v>
      </c>
      <c r="C216" s="12" t="s">
        <v>617</v>
      </c>
      <c r="D216" s="12" t="s">
        <v>157</v>
      </c>
      <c r="E216" s="12" t="s">
        <v>7</v>
      </c>
      <c r="F216" s="7" t="s">
        <v>613</v>
      </c>
      <c r="G216" s="7" t="s">
        <v>614</v>
      </c>
      <c r="H216" s="12" t="s">
        <v>2</v>
      </c>
      <c r="I216" s="12" t="s">
        <v>16</v>
      </c>
      <c r="J216" s="12" t="s">
        <v>2</v>
      </c>
      <c r="K216" s="12"/>
      <c r="L216" s="12"/>
      <c r="M216" s="12"/>
      <c r="N216" s="12"/>
      <c r="O216" s="12"/>
      <c r="P216" s="12"/>
      <c r="Q216" s="12"/>
      <c r="R216" s="12"/>
      <c r="S216" s="12"/>
      <c r="T216" s="12"/>
      <c r="U216" s="12"/>
      <c r="V216" s="12"/>
      <c r="W216" s="12"/>
      <c r="X216" s="12"/>
      <c r="Y216" s="12"/>
      <c r="Z216" s="12" t="s">
        <v>789</v>
      </c>
      <c r="AA216" s="1" t="s">
        <v>2</v>
      </c>
      <c r="AB216" s="1" t="s">
        <v>2</v>
      </c>
      <c r="AC216" s="1" t="s">
        <v>2</v>
      </c>
      <c r="AD216" s="1" t="s">
        <v>2</v>
      </c>
      <c r="AE216" s="1" t="s">
        <v>2</v>
      </c>
      <c r="AF216" s="1" t="s">
        <v>2</v>
      </c>
      <c r="AG216" s="1" t="s">
        <v>2</v>
      </c>
      <c r="AH216" s="1" t="s">
        <v>2</v>
      </c>
      <c r="AI216" s="1" t="s">
        <v>2</v>
      </c>
      <c r="AJ216" s="1" t="s">
        <v>2</v>
      </c>
      <c r="AK216" s="1" t="s">
        <v>613</v>
      </c>
    </row>
    <row r="217" spans="1:39" ht="16.350000000000001" customHeight="1" x14ac:dyDescent="0.2">
      <c r="A217" s="12" t="s">
        <v>709</v>
      </c>
      <c r="B217" s="12" t="s">
        <v>710</v>
      </c>
      <c r="C217" s="12" t="s">
        <v>711</v>
      </c>
      <c r="D217" s="12" t="s">
        <v>157</v>
      </c>
      <c r="E217" s="12" t="s">
        <v>712</v>
      </c>
      <c r="F217" s="7" t="s">
        <v>713</v>
      </c>
      <c r="G217" s="7" t="s">
        <v>714</v>
      </c>
      <c r="H217" s="12" t="s">
        <v>11</v>
      </c>
      <c r="I217" s="12" t="s">
        <v>16</v>
      </c>
      <c r="J217" s="12" t="s">
        <v>2</v>
      </c>
      <c r="K217" s="12"/>
      <c r="L217" s="12"/>
      <c r="M217" s="12"/>
      <c r="N217" s="12"/>
      <c r="O217" s="12"/>
      <c r="P217" s="12"/>
      <c r="Q217" s="12"/>
      <c r="R217" s="12"/>
      <c r="S217" s="12"/>
      <c r="T217" s="12"/>
      <c r="U217" s="12"/>
      <c r="V217" s="12"/>
      <c r="W217" s="12"/>
      <c r="X217" s="12"/>
      <c r="Y217" s="12"/>
      <c r="Z217" s="12" t="s">
        <v>789</v>
      </c>
      <c r="AK217" s="1" t="s">
        <v>713</v>
      </c>
    </row>
    <row r="218" spans="1:39" ht="16.350000000000001" customHeight="1" x14ac:dyDescent="0.2">
      <c r="A218" s="12" t="s">
        <v>715</v>
      </c>
      <c r="B218" s="12">
        <v>68000350</v>
      </c>
      <c r="C218" s="12" t="s">
        <v>716</v>
      </c>
      <c r="D218" s="12" t="s">
        <v>157</v>
      </c>
      <c r="E218" s="12" t="s">
        <v>7</v>
      </c>
      <c r="F218" s="7" t="s">
        <v>713</v>
      </c>
      <c r="G218" s="7" t="s">
        <v>714</v>
      </c>
      <c r="H218" s="12" t="s">
        <v>11</v>
      </c>
      <c r="I218" s="12" t="s">
        <v>16</v>
      </c>
      <c r="J218" s="12" t="s">
        <v>2</v>
      </c>
      <c r="K218" s="12"/>
      <c r="L218" s="12"/>
      <c r="M218" s="12"/>
      <c r="N218" s="12"/>
      <c r="O218" s="12"/>
      <c r="P218" s="12"/>
      <c r="Q218" s="12"/>
      <c r="R218" s="12"/>
      <c r="S218" s="12"/>
      <c r="T218" s="12"/>
      <c r="U218" s="12"/>
      <c r="V218" s="12"/>
      <c r="W218" s="12"/>
      <c r="X218" s="12"/>
      <c r="Y218" s="12"/>
      <c r="Z218" s="12" t="s">
        <v>789</v>
      </c>
      <c r="AK218" s="1" t="s">
        <v>713</v>
      </c>
    </row>
    <row r="219" spans="1:39" ht="16.350000000000001" customHeight="1" x14ac:dyDescent="0.2">
      <c r="A219" s="12" t="s">
        <v>758</v>
      </c>
      <c r="B219" s="12" t="s">
        <v>759</v>
      </c>
      <c r="C219" s="12" t="s">
        <v>760</v>
      </c>
      <c r="D219" s="12" t="s">
        <v>157</v>
      </c>
      <c r="E219" s="12" t="s">
        <v>19</v>
      </c>
      <c r="F219" s="7" t="s">
        <v>761</v>
      </c>
      <c r="G219" s="7" t="s">
        <v>762</v>
      </c>
      <c r="H219" s="12" t="s">
        <v>11</v>
      </c>
      <c r="I219" s="12" t="s">
        <v>16</v>
      </c>
      <c r="J219" s="12" t="s">
        <v>774</v>
      </c>
      <c r="K219" s="12"/>
      <c r="L219" s="12"/>
      <c r="M219" s="12"/>
      <c r="N219" s="12"/>
      <c r="O219" s="12"/>
      <c r="P219" s="12"/>
      <c r="Q219" s="12"/>
      <c r="R219" s="12"/>
      <c r="S219" s="12"/>
      <c r="T219" s="12"/>
      <c r="U219" s="12"/>
      <c r="V219" s="12"/>
      <c r="W219" s="12"/>
      <c r="X219" s="12"/>
      <c r="Y219" s="12"/>
      <c r="Z219" s="12" t="s">
        <v>789</v>
      </c>
      <c r="AK219" s="1" t="s">
        <v>761</v>
      </c>
      <c r="AM219" s="9">
        <v>44901.360914351855</v>
      </c>
    </row>
    <row r="220" spans="1:39" ht="16.350000000000001" hidden="1" customHeight="1" x14ac:dyDescent="0.2">
      <c r="A220" s="12" t="s">
        <v>763</v>
      </c>
      <c r="B220" s="12" t="s">
        <v>570</v>
      </c>
      <c r="C220" s="12" t="s">
        <v>570</v>
      </c>
      <c r="D220" s="12" t="s">
        <v>570</v>
      </c>
      <c r="E220" s="12" t="s">
        <v>570</v>
      </c>
      <c r="F220" s="7" t="s">
        <v>570</v>
      </c>
      <c r="G220" s="7" t="s">
        <v>570</v>
      </c>
      <c r="H220" s="12" t="s">
        <v>570</v>
      </c>
      <c r="I220" s="12" t="s">
        <v>570</v>
      </c>
      <c r="J220" s="12" t="s">
        <v>775</v>
      </c>
      <c r="K220" s="12"/>
      <c r="L220" s="12"/>
      <c r="M220" s="12"/>
      <c r="N220" s="12"/>
      <c r="O220" s="12"/>
      <c r="P220" s="12"/>
      <c r="Q220" s="12"/>
      <c r="R220" s="12"/>
      <c r="S220" s="12"/>
      <c r="T220" s="12"/>
      <c r="U220" s="12"/>
      <c r="V220" s="12"/>
      <c r="W220" s="12"/>
      <c r="X220" s="12"/>
      <c r="Y220" s="12"/>
      <c r="Z220" s="12" t="s">
        <v>643</v>
      </c>
      <c r="AK220" s="1" t="s">
        <v>570</v>
      </c>
    </row>
    <row r="221" spans="1:39" ht="16.350000000000001" hidden="1" customHeight="1" x14ac:dyDescent="0.2">
      <c r="A221" s="12" t="s">
        <v>208</v>
      </c>
      <c r="B221" s="12" t="s">
        <v>755</v>
      </c>
      <c r="C221" s="12" t="s">
        <v>244</v>
      </c>
      <c r="D221" s="12" t="s">
        <v>157</v>
      </c>
      <c r="E221" s="12" t="s">
        <v>231</v>
      </c>
      <c r="F221" s="7" t="s">
        <v>757</v>
      </c>
      <c r="G221" s="7" t="s">
        <v>756</v>
      </c>
      <c r="H221" s="12" t="s">
        <v>11</v>
      </c>
      <c r="I221" s="12" t="s">
        <v>20</v>
      </c>
      <c r="J221" s="12" t="s">
        <v>2</v>
      </c>
      <c r="K221" s="12"/>
      <c r="L221" s="12"/>
      <c r="M221" s="12"/>
      <c r="N221" s="12"/>
      <c r="O221" s="12"/>
      <c r="P221" s="12"/>
      <c r="Q221" s="12"/>
      <c r="R221" s="12"/>
      <c r="S221" s="12"/>
      <c r="T221" s="12"/>
      <c r="U221" s="12"/>
      <c r="V221" s="12"/>
      <c r="W221" s="12"/>
      <c r="X221" s="12"/>
      <c r="Y221" s="12"/>
      <c r="Z221" s="12" t="s">
        <v>643</v>
      </c>
      <c r="AK221" s="1" t="s">
        <v>757</v>
      </c>
    </row>
    <row r="222" spans="1:39" ht="16.350000000000001" customHeight="1" x14ac:dyDescent="0.2">
      <c r="A222" s="12" t="s">
        <v>765</v>
      </c>
      <c r="B222" s="12">
        <v>58900526</v>
      </c>
      <c r="C222" s="12" t="s">
        <v>744</v>
      </c>
      <c r="D222" s="12" t="s">
        <v>157</v>
      </c>
      <c r="E222" s="12" t="s">
        <v>7</v>
      </c>
      <c r="F222" s="7">
        <v>44875</v>
      </c>
      <c r="G222" s="7" t="s">
        <v>766</v>
      </c>
      <c r="H222" s="12" t="s">
        <v>11</v>
      </c>
      <c r="I222" s="12" t="s">
        <v>433</v>
      </c>
      <c r="J222" s="12" t="s">
        <v>2</v>
      </c>
      <c r="K222" s="12"/>
      <c r="L222" s="12"/>
      <c r="M222" s="12"/>
      <c r="N222" s="12"/>
      <c r="O222" s="12"/>
      <c r="P222" s="12"/>
      <c r="Q222" s="12"/>
      <c r="R222" s="12"/>
      <c r="S222" s="12"/>
      <c r="T222" s="12"/>
      <c r="U222" s="12"/>
      <c r="V222" s="12"/>
      <c r="W222" s="12"/>
      <c r="X222" s="12"/>
      <c r="Y222" s="12"/>
      <c r="Z222" s="12" t="s">
        <v>789</v>
      </c>
    </row>
    <row r="223" spans="1:39" ht="16.350000000000001" customHeight="1" x14ac:dyDescent="0.2">
      <c r="A223" s="12" t="s">
        <v>767</v>
      </c>
      <c r="B223" s="12" t="s">
        <v>768</v>
      </c>
      <c r="C223" s="12" t="s">
        <v>769</v>
      </c>
      <c r="D223" s="12" t="s">
        <v>157</v>
      </c>
      <c r="E223" s="12" t="s">
        <v>19</v>
      </c>
      <c r="F223" s="7">
        <v>44875</v>
      </c>
      <c r="G223" s="7" t="s">
        <v>766</v>
      </c>
      <c r="H223" s="12" t="s">
        <v>11</v>
      </c>
      <c r="I223" s="12" t="s">
        <v>10</v>
      </c>
      <c r="J223" s="12" t="s">
        <v>2</v>
      </c>
      <c r="K223" s="12"/>
      <c r="L223" s="12"/>
      <c r="M223" s="12"/>
      <c r="N223" s="12"/>
      <c r="O223" s="12"/>
      <c r="P223" s="12"/>
      <c r="Q223" s="12"/>
      <c r="R223" s="12"/>
      <c r="S223" s="12"/>
      <c r="T223" s="12"/>
      <c r="U223" s="12"/>
      <c r="V223" s="12"/>
      <c r="W223" s="12"/>
      <c r="X223" s="12"/>
      <c r="Y223" s="12"/>
      <c r="Z223" s="12" t="s">
        <v>789</v>
      </c>
    </row>
    <row r="224" spans="1:39" ht="16.350000000000001" customHeight="1" x14ac:dyDescent="0.2">
      <c r="A224" s="12" t="s">
        <v>770</v>
      </c>
      <c r="B224" s="12" t="s">
        <v>771</v>
      </c>
      <c r="C224" s="12" t="s">
        <v>772</v>
      </c>
      <c r="D224" s="12" t="s">
        <v>157</v>
      </c>
      <c r="E224" s="12" t="s">
        <v>19</v>
      </c>
      <c r="F224" s="7" t="s">
        <v>773</v>
      </c>
      <c r="G224" s="7" t="s">
        <v>766</v>
      </c>
      <c r="H224" s="12" t="s">
        <v>11</v>
      </c>
      <c r="I224" s="12" t="s">
        <v>10</v>
      </c>
      <c r="J224" s="12" t="s">
        <v>2</v>
      </c>
      <c r="K224" s="12"/>
      <c r="L224" s="12"/>
      <c r="M224" s="12"/>
      <c r="N224" s="12"/>
      <c r="O224" s="12"/>
      <c r="P224" s="12"/>
      <c r="Q224" s="12"/>
      <c r="R224" s="12"/>
      <c r="S224" s="12"/>
      <c r="T224" s="12"/>
      <c r="U224" s="12"/>
      <c r="V224" s="12"/>
      <c r="W224" s="12"/>
      <c r="X224" s="12"/>
      <c r="Y224" s="12"/>
      <c r="Z224" s="12" t="s">
        <v>789</v>
      </c>
      <c r="AK224" s="1" t="s">
        <v>773</v>
      </c>
    </row>
    <row r="225" spans="1:39" ht="16.350000000000001" customHeight="1" x14ac:dyDescent="0.2">
      <c r="A225" s="12" t="s">
        <v>836</v>
      </c>
      <c r="B225" s="12" t="s">
        <v>837</v>
      </c>
      <c r="C225" s="12" t="s">
        <v>838</v>
      </c>
      <c r="D225" s="12" t="s">
        <v>157</v>
      </c>
      <c r="E225" s="12" t="s">
        <v>7</v>
      </c>
      <c r="F225" s="7" t="s">
        <v>809</v>
      </c>
      <c r="G225" s="7" t="s">
        <v>810</v>
      </c>
      <c r="H225" s="12" t="s">
        <v>11</v>
      </c>
      <c r="I225" s="12" t="s">
        <v>10</v>
      </c>
      <c r="J225" s="12" t="s">
        <v>751</v>
      </c>
      <c r="K225" s="12"/>
      <c r="L225" s="12"/>
      <c r="M225" s="12"/>
      <c r="N225" s="12"/>
      <c r="O225" s="12"/>
      <c r="P225" s="12"/>
      <c r="Q225" s="12"/>
      <c r="R225" s="12"/>
      <c r="S225" s="12"/>
      <c r="T225" s="12"/>
      <c r="U225" s="12"/>
      <c r="V225" s="12"/>
      <c r="W225" s="12"/>
      <c r="X225" s="12"/>
      <c r="Y225" s="12"/>
      <c r="Z225" s="12" t="s">
        <v>789</v>
      </c>
      <c r="AK225" s="1" t="s">
        <v>809</v>
      </c>
    </row>
    <row r="226" spans="1:39" ht="16.350000000000001" customHeight="1" x14ac:dyDescent="0.2">
      <c r="A226" s="12" t="s">
        <v>426</v>
      </c>
      <c r="B226" s="12" t="s">
        <v>426</v>
      </c>
      <c r="C226" s="12" t="s">
        <v>427</v>
      </c>
      <c r="D226" s="12" t="s">
        <v>428</v>
      </c>
      <c r="E226" s="12" t="s">
        <v>425</v>
      </c>
      <c r="F226" s="7" t="s">
        <v>184</v>
      </c>
      <c r="G226" s="7">
        <v>44898</v>
      </c>
      <c r="H226" s="12" t="s">
        <v>429</v>
      </c>
      <c r="I226" s="12" t="s">
        <v>23</v>
      </c>
      <c r="J226" s="12" t="s">
        <v>862</v>
      </c>
      <c r="K226" s="12"/>
      <c r="L226" s="12"/>
      <c r="M226" s="12"/>
      <c r="N226" s="12"/>
      <c r="O226" s="12"/>
      <c r="P226" s="12"/>
      <c r="Q226" s="12"/>
      <c r="R226" s="12"/>
      <c r="S226" s="12"/>
      <c r="T226" s="12"/>
      <c r="U226" s="12"/>
      <c r="V226" s="12"/>
      <c r="W226" s="12"/>
      <c r="X226" s="12"/>
      <c r="Y226" s="12"/>
      <c r="Z226" s="12" t="s">
        <v>789</v>
      </c>
      <c r="AA226" s="1" t="s">
        <v>2</v>
      </c>
      <c r="AB226" s="1" t="s">
        <v>2</v>
      </c>
      <c r="AC226" s="1" t="s">
        <v>2</v>
      </c>
      <c r="AD226" s="1" t="s">
        <v>2</v>
      </c>
      <c r="AE226" s="1" t="s">
        <v>2</v>
      </c>
      <c r="AF226" s="1" t="s">
        <v>2</v>
      </c>
      <c r="AG226" s="1" t="s">
        <v>2</v>
      </c>
      <c r="AH226" s="1" t="s">
        <v>2</v>
      </c>
      <c r="AI226" s="1" t="s">
        <v>2</v>
      </c>
      <c r="AJ226" s="1" t="s">
        <v>2</v>
      </c>
      <c r="AK226" s="1" t="s">
        <v>184</v>
      </c>
      <c r="AL226" s="9">
        <v>44901.359247685185</v>
      </c>
      <c r="AM226" s="9">
        <v>44901.359351851854</v>
      </c>
    </row>
    <row r="227" spans="1:39" ht="16.350000000000001" customHeight="1" x14ac:dyDescent="0.2">
      <c r="A227" s="12" t="s">
        <v>571</v>
      </c>
      <c r="B227" s="12">
        <v>362114510</v>
      </c>
      <c r="C227" s="12" t="s">
        <v>572</v>
      </c>
      <c r="D227" s="12" t="s">
        <v>455</v>
      </c>
      <c r="E227" s="12" t="s">
        <v>425</v>
      </c>
      <c r="F227" s="7">
        <v>44376</v>
      </c>
      <c r="G227" s="7" t="s">
        <v>573</v>
      </c>
      <c r="H227" s="12" t="s">
        <v>11</v>
      </c>
      <c r="I227" s="12" t="s">
        <v>20</v>
      </c>
      <c r="J227" s="12" t="s">
        <v>2</v>
      </c>
      <c r="K227" s="12"/>
      <c r="L227" s="12"/>
      <c r="M227" s="12"/>
      <c r="N227" s="12"/>
      <c r="O227" s="12"/>
      <c r="P227" s="12"/>
      <c r="Q227" s="12"/>
      <c r="R227" s="12"/>
      <c r="S227" s="12"/>
      <c r="T227" s="12"/>
      <c r="U227" s="12"/>
      <c r="V227" s="12"/>
      <c r="W227" s="12"/>
      <c r="X227" s="12"/>
      <c r="Y227" s="12"/>
      <c r="Z227" s="12" t="s">
        <v>789</v>
      </c>
    </row>
    <row r="228" spans="1:39" ht="16.350000000000001" customHeight="1" x14ac:dyDescent="0.2">
      <c r="A228" s="12" t="s">
        <v>479</v>
      </c>
      <c r="B228" s="12">
        <v>302114510</v>
      </c>
      <c r="C228" s="12" t="s">
        <v>472</v>
      </c>
      <c r="D228" s="12" t="s">
        <v>462</v>
      </c>
      <c r="E228" s="12" t="s">
        <v>425</v>
      </c>
      <c r="F228" s="7" t="s">
        <v>635</v>
      </c>
      <c r="G228" s="7" t="s">
        <v>636</v>
      </c>
      <c r="H228" s="12" t="s">
        <v>11</v>
      </c>
      <c r="I228" s="12" t="s">
        <v>134</v>
      </c>
      <c r="J228" s="12" t="s">
        <v>2</v>
      </c>
      <c r="K228" s="12"/>
      <c r="L228" s="12"/>
      <c r="M228" s="12"/>
      <c r="N228" s="12"/>
      <c r="O228" s="12"/>
      <c r="P228" s="12"/>
      <c r="Q228" s="12"/>
      <c r="R228" s="12"/>
      <c r="S228" s="12"/>
      <c r="T228" s="12"/>
      <c r="U228" s="12"/>
      <c r="V228" s="12"/>
      <c r="W228" s="12"/>
      <c r="X228" s="12"/>
      <c r="Y228" s="12"/>
      <c r="Z228" s="12" t="s">
        <v>789</v>
      </c>
      <c r="AK228" s="1" t="s">
        <v>635</v>
      </c>
    </row>
    <row r="229" spans="1:39" ht="16.350000000000001" customHeight="1" x14ac:dyDescent="0.2">
      <c r="A229" s="12" t="s">
        <v>480</v>
      </c>
      <c r="B229" s="12">
        <v>302114510</v>
      </c>
      <c r="C229" s="12" t="s">
        <v>472</v>
      </c>
      <c r="D229" s="12" t="s">
        <v>462</v>
      </c>
      <c r="E229" s="12" t="s">
        <v>425</v>
      </c>
      <c r="F229" s="7">
        <v>44537</v>
      </c>
      <c r="G229" s="7" t="s">
        <v>640</v>
      </c>
      <c r="H229" s="12" t="s">
        <v>11</v>
      </c>
      <c r="I229" s="12" t="s">
        <v>134</v>
      </c>
      <c r="J229" s="12" t="s">
        <v>2</v>
      </c>
      <c r="K229" s="12"/>
      <c r="L229" s="12"/>
      <c r="M229" s="12"/>
      <c r="N229" s="12"/>
      <c r="O229" s="12"/>
      <c r="P229" s="12"/>
      <c r="Q229" s="12"/>
      <c r="R229" s="12"/>
      <c r="S229" s="12"/>
      <c r="T229" s="12"/>
      <c r="U229" s="12"/>
      <c r="V229" s="12"/>
      <c r="W229" s="12"/>
      <c r="X229" s="12"/>
      <c r="Y229" s="12"/>
      <c r="Z229" s="12" t="s">
        <v>789</v>
      </c>
      <c r="AA229" s="1" t="s">
        <v>570</v>
      </c>
      <c r="AB229" s="1" t="s">
        <v>570</v>
      </c>
      <c r="AC229" s="1" t="s">
        <v>570</v>
      </c>
      <c r="AD229" s="1" t="s">
        <v>570</v>
      </c>
      <c r="AE229" s="1" t="s">
        <v>570</v>
      </c>
      <c r="AF229" s="1" t="s">
        <v>570</v>
      </c>
      <c r="AG229" s="1" t="s">
        <v>570</v>
      </c>
      <c r="AH229" s="1" t="s">
        <v>570</v>
      </c>
      <c r="AI229" s="1" t="s">
        <v>570</v>
      </c>
      <c r="AJ229" s="1" t="s">
        <v>570</v>
      </c>
      <c r="AK229" s="1" t="s">
        <v>639</v>
      </c>
    </row>
    <row r="230" spans="1:39" ht="16.350000000000001" customHeight="1" x14ac:dyDescent="0.2">
      <c r="A230" s="12" t="s">
        <v>481</v>
      </c>
      <c r="B230" s="12" t="s">
        <v>777</v>
      </c>
      <c r="C230" s="12" t="s">
        <v>482</v>
      </c>
      <c r="D230" s="12" t="s">
        <v>462</v>
      </c>
      <c r="E230" s="12" t="s">
        <v>425</v>
      </c>
      <c r="F230" s="7" t="s">
        <v>639</v>
      </c>
      <c r="G230" s="7" t="s">
        <v>640</v>
      </c>
      <c r="H230" s="12" t="s">
        <v>11</v>
      </c>
      <c r="I230" s="12" t="s">
        <v>9</v>
      </c>
      <c r="J230" s="12" t="s">
        <v>2</v>
      </c>
      <c r="K230" s="12"/>
      <c r="L230" s="12"/>
      <c r="M230" s="12"/>
      <c r="N230" s="12"/>
      <c r="O230" s="12"/>
      <c r="P230" s="12"/>
      <c r="Q230" s="12"/>
      <c r="R230" s="12"/>
      <c r="S230" s="12"/>
      <c r="T230" s="12"/>
      <c r="U230" s="12"/>
      <c r="V230" s="12"/>
      <c r="W230" s="12"/>
      <c r="X230" s="12"/>
      <c r="Y230" s="12"/>
      <c r="Z230" s="12" t="s">
        <v>789</v>
      </c>
      <c r="AK230" s="1" t="s">
        <v>639</v>
      </c>
    </row>
    <row r="231" spans="1:39" ht="16.350000000000001" customHeight="1" x14ac:dyDescent="0.2">
      <c r="A231" s="12" t="s">
        <v>501</v>
      </c>
      <c r="B231" s="12" t="s">
        <v>502</v>
      </c>
      <c r="C231" s="12" t="s">
        <v>503</v>
      </c>
      <c r="D231" s="12" t="s">
        <v>462</v>
      </c>
      <c r="E231" s="12" t="s">
        <v>425</v>
      </c>
      <c r="F231" s="7" t="s">
        <v>504</v>
      </c>
      <c r="G231" s="7">
        <v>45060</v>
      </c>
      <c r="H231" s="12" t="s">
        <v>11</v>
      </c>
      <c r="I231" s="12" t="s">
        <v>20</v>
      </c>
      <c r="J231" s="12" t="s">
        <v>2</v>
      </c>
      <c r="K231" s="12"/>
      <c r="L231" s="12"/>
      <c r="M231" s="12"/>
      <c r="N231" s="12"/>
      <c r="O231" s="12"/>
      <c r="P231" s="12"/>
      <c r="Q231" s="12"/>
      <c r="R231" s="12"/>
      <c r="S231" s="12"/>
      <c r="T231" s="12"/>
      <c r="U231" s="12"/>
      <c r="V231" s="12"/>
      <c r="W231" s="12"/>
      <c r="X231" s="12"/>
      <c r="Y231" s="12"/>
      <c r="Z231" s="12" t="s">
        <v>789</v>
      </c>
      <c r="AK231" s="1" t="s">
        <v>504</v>
      </c>
      <c r="AM231" s="9">
        <v>44903.297337962962</v>
      </c>
    </row>
    <row r="232" spans="1:39" ht="16.350000000000001" customHeight="1" x14ac:dyDescent="0.2">
      <c r="A232" s="12" t="s">
        <v>505</v>
      </c>
      <c r="B232" s="12" t="s">
        <v>502</v>
      </c>
      <c r="C232" s="12" t="s">
        <v>503</v>
      </c>
      <c r="D232" s="12" t="s">
        <v>462</v>
      </c>
      <c r="E232" s="12" t="s">
        <v>425</v>
      </c>
      <c r="F232" s="7" t="s">
        <v>504</v>
      </c>
      <c r="G232" s="7">
        <v>45060</v>
      </c>
      <c r="H232" s="12" t="s">
        <v>11</v>
      </c>
      <c r="I232" s="12" t="s">
        <v>9</v>
      </c>
      <c r="J232" s="12" t="s">
        <v>2</v>
      </c>
      <c r="K232" s="12"/>
      <c r="L232" s="12"/>
      <c r="M232" s="12"/>
      <c r="N232" s="12"/>
      <c r="O232" s="12"/>
      <c r="P232" s="12"/>
      <c r="Q232" s="12"/>
      <c r="R232" s="12"/>
      <c r="S232" s="12"/>
      <c r="T232" s="12"/>
      <c r="U232" s="12"/>
      <c r="V232" s="12"/>
      <c r="W232" s="12"/>
      <c r="X232" s="12"/>
      <c r="Y232" s="12"/>
      <c r="Z232" s="12" t="s">
        <v>789</v>
      </c>
      <c r="AK232" s="1" t="s">
        <v>504</v>
      </c>
      <c r="AM232" s="9">
        <v>44903.297268518516</v>
      </c>
    </row>
    <row r="233" spans="1:39" ht="16.350000000000001" hidden="1" customHeight="1" x14ac:dyDescent="0.2">
      <c r="A233" s="12" t="s">
        <v>131</v>
      </c>
      <c r="B233" s="12">
        <v>5271731</v>
      </c>
      <c r="C233" s="12" t="s">
        <v>132</v>
      </c>
      <c r="D233" s="12" t="s">
        <v>154</v>
      </c>
      <c r="E233" s="12" t="s">
        <v>19</v>
      </c>
      <c r="F233" s="7">
        <v>44197</v>
      </c>
      <c r="G233" s="7">
        <v>2601259</v>
      </c>
      <c r="H233" s="12" t="s">
        <v>2</v>
      </c>
      <c r="I233" s="12" t="s">
        <v>10</v>
      </c>
      <c r="J233" s="12" t="s">
        <v>2</v>
      </c>
      <c r="K233" s="12"/>
      <c r="L233" s="12"/>
      <c r="M233" s="12"/>
      <c r="N233" s="12"/>
      <c r="O233" s="12"/>
      <c r="P233" s="12"/>
      <c r="Q233" s="12"/>
      <c r="R233" s="12"/>
      <c r="S233" s="12"/>
      <c r="T233" s="12"/>
      <c r="U233" s="12"/>
      <c r="V233" s="12"/>
      <c r="W233" s="12"/>
      <c r="X233" s="12"/>
      <c r="Y233" s="12"/>
      <c r="Z233" s="12" t="s">
        <v>643</v>
      </c>
      <c r="AK233" s="1">
        <v>44197</v>
      </c>
    </row>
    <row r="234" spans="1:39" ht="16.350000000000001" customHeight="1" x14ac:dyDescent="0.2">
      <c r="A234" s="12" t="s">
        <v>506</v>
      </c>
      <c r="B234" s="12" t="s">
        <v>507</v>
      </c>
      <c r="C234" s="12" t="s">
        <v>508</v>
      </c>
      <c r="D234" s="12" t="s">
        <v>462</v>
      </c>
      <c r="E234" s="12" t="s">
        <v>425</v>
      </c>
      <c r="F234" s="7" t="s">
        <v>509</v>
      </c>
      <c r="G234" s="7">
        <v>45071</v>
      </c>
      <c r="H234" s="12" t="s">
        <v>11</v>
      </c>
      <c r="I234" s="12" t="s">
        <v>510</v>
      </c>
      <c r="J234" s="12" t="s">
        <v>717</v>
      </c>
      <c r="K234" s="12"/>
      <c r="L234" s="12"/>
      <c r="M234" s="12"/>
      <c r="N234" s="12"/>
      <c r="O234" s="12"/>
      <c r="P234" s="12"/>
      <c r="Q234" s="12"/>
      <c r="R234" s="12"/>
      <c r="S234" s="12"/>
      <c r="T234" s="12"/>
      <c r="U234" s="12"/>
      <c r="V234" s="12"/>
      <c r="W234" s="12"/>
      <c r="X234" s="12"/>
      <c r="Y234" s="12"/>
      <c r="Z234" s="12" t="s">
        <v>789</v>
      </c>
      <c r="AK234" s="1" t="s">
        <v>509</v>
      </c>
      <c r="AM234" s="9">
        <v>44903.2971412037</v>
      </c>
    </row>
    <row r="235" spans="1:39" ht="16.350000000000001" hidden="1" customHeight="1" x14ac:dyDescent="0.2">
      <c r="A235" s="12" t="s">
        <v>743</v>
      </c>
      <c r="B235" s="12" t="s">
        <v>570</v>
      </c>
      <c r="C235" s="12" t="s">
        <v>570</v>
      </c>
      <c r="D235" s="12" t="s">
        <v>570</v>
      </c>
      <c r="E235" s="12" t="s">
        <v>570</v>
      </c>
      <c r="F235" s="7" t="s">
        <v>570</v>
      </c>
      <c r="G235" s="7"/>
      <c r="H235" s="12" t="s">
        <v>570</v>
      </c>
      <c r="I235" s="12" t="s">
        <v>570</v>
      </c>
      <c r="J235" s="12" t="s">
        <v>570</v>
      </c>
      <c r="K235" s="12"/>
      <c r="L235" s="12"/>
      <c r="M235" s="12"/>
      <c r="N235" s="12"/>
      <c r="O235" s="12"/>
      <c r="P235" s="12"/>
      <c r="Q235" s="12"/>
      <c r="R235" s="12"/>
      <c r="S235" s="12"/>
      <c r="T235" s="12"/>
      <c r="U235" s="12"/>
      <c r="V235" s="12"/>
      <c r="W235" s="12"/>
      <c r="X235" s="12"/>
      <c r="Y235" s="12"/>
      <c r="Z235" s="12" t="s">
        <v>867</v>
      </c>
      <c r="AA235" s="1" t="s">
        <v>2</v>
      </c>
      <c r="AB235" s="1" t="s">
        <v>2</v>
      </c>
      <c r="AC235" s="1" t="s">
        <v>2</v>
      </c>
      <c r="AD235" s="1" t="s">
        <v>2</v>
      </c>
      <c r="AE235" s="1" t="s">
        <v>2</v>
      </c>
      <c r="AF235" s="1" t="s">
        <v>2</v>
      </c>
      <c r="AG235" s="1" t="s">
        <v>2</v>
      </c>
      <c r="AH235" s="1" t="s">
        <v>2</v>
      </c>
      <c r="AI235" s="1" t="s">
        <v>2</v>
      </c>
      <c r="AJ235" s="1" t="s">
        <v>2</v>
      </c>
      <c r="AK235" s="1" t="s">
        <v>570</v>
      </c>
      <c r="AL235" s="9">
        <v>44902.369664351849</v>
      </c>
      <c r="AM235" s="9">
        <v>44903.297013888892</v>
      </c>
    </row>
    <row r="236" spans="1:39" ht="16.350000000000001" customHeight="1" x14ac:dyDescent="0.2">
      <c r="A236" s="12" t="s">
        <v>557</v>
      </c>
      <c r="B236" s="12" t="s">
        <v>2</v>
      </c>
      <c r="C236" s="12" t="s">
        <v>558</v>
      </c>
      <c r="D236" s="12" t="s">
        <v>564</v>
      </c>
      <c r="E236" s="12" t="s">
        <v>425</v>
      </c>
      <c r="F236" s="7" t="s">
        <v>658</v>
      </c>
      <c r="G236" s="7">
        <v>45028</v>
      </c>
      <c r="H236" s="12" t="s">
        <v>11</v>
      </c>
      <c r="I236" s="12" t="s">
        <v>559</v>
      </c>
      <c r="J236" s="12" t="s">
        <v>2</v>
      </c>
      <c r="K236" s="12"/>
      <c r="L236" s="12"/>
      <c r="M236" s="12"/>
      <c r="N236" s="12"/>
      <c r="O236" s="12"/>
      <c r="P236" s="12"/>
      <c r="Q236" s="12"/>
      <c r="R236" s="12"/>
      <c r="S236" s="12"/>
      <c r="T236" s="12"/>
      <c r="U236" s="12"/>
      <c r="V236" s="12"/>
      <c r="W236" s="12"/>
      <c r="X236" s="12"/>
      <c r="Y236" s="12"/>
      <c r="Z236" s="12" t="s">
        <v>789</v>
      </c>
      <c r="AK236" s="1" t="s">
        <v>658</v>
      </c>
    </row>
    <row r="237" spans="1:39" ht="16.350000000000001" customHeight="1" x14ac:dyDescent="0.2">
      <c r="A237" s="12" t="s">
        <v>798</v>
      </c>
      <c r="B237" s="12" t="s">
        <v>2</v>
      </c>
      <c r="C237" s="12" t="s">
        <v>798</v>
      </c>
      <c r="D237" s="12" t="s">
        <v>564</v>
      </c>
      <c r="E237" s="12" t="s">
        <v>425</v>
      </c>
      <c r="F237" s="7">
        <v>44197</v>
      </c>
      <c r="G237" s="7">
        <v>2601259</v>
      </c>
      <c r="H237" s="12" t="s">
        <v>2</v>
      </c>
      <c r="I237" s="12" t="s">
        <v>10</v>
      </c>
      <c r="J237" s="12" t="s">
        <v>799</v>
      </c>
      <c r="K237" s="12"/>
      <c r="L237" s="12"/>
      <c r="M237" s="12"/>
      <c r="N237" s="12"/>
      <c r="O237" s="12"/>
      <c r="P237" s="12"/>
      <c r="Q237" s="12"/>
      <c r="R237" s="12"/>
      <c r="S237" s="12"/>
      <c r="T237" s="12"/>
      <c r="U237" s="12"/>
      <c r="V237" s="12"/>
      <c r="W237" s="12"/>
      <c r="X237" s="12"/>
      <c r="Y237" s="12"/>
      <c r="Z237" s="12" t="s">
        <v>789</v>
      </c>
    </row>
    <row r="238" spans="1:39" ht="16.350000000000001" hidden="1" customHeight="1" x14ac:dyDescent="0.2">
      <c r="A238" s="12" t="s">
        <v>423</v>
      </c>
      <c r="B238" s="12" t="s">
        <v>423</v>
      </c>
      <c r="C238" s="12" t="s">
        <v>424</v>
      </c>
      <c r="D238" s="12" t="s">
        <v>424</v>
      </c>
      <c r="E238" s="12" t="s">
        <v>425</v>
      </c>
      <c r="F238" s="7" t="s">
        <v>570</v>
      </c>
      <c r="G238" s="7" t="s">
        <v>570</v>
      </c>
      <c r="H238" s="12" t="s">
        <v>11</v>
      </c>
      <c r="I238" s="12" t="s">
        <v>9</v>
      </c>
      <c r="J238" s="12" t="s">
        <v>2</v>
      </c>
      <c r="K238" s="12"/>
      <c r="L238" s="12"/>
      <c r="M238" s="12"/>
      <c r="N238" s="12"/>
      <c r="O238" s="12"/>
      <c r="P238" s="12"/>
      <c r="Q238" s="12"/>
      <c r="R238" s="12"/>
      <c r="S238" s="12"/>
      <c r="T238" s="12"/>
      <c r="U238" s="12"/>
      <c r="V238" s="12"/>
      <c r="W238" s="12"/>
      <c r="X238" s="12"/>
      <c r="Y238" s="12"/>
      <c r="Z238" s="12" t="s">
        <v>619</v>
      </c>
      <c r="AK238" s="1" t="s">
        <v>570</v>
      </c>
    </row>
    <row r="239" spans="1:39" ht="16.350000000000001" customHeight="1" x14ac:dyDescent="0.2">
      <c r="A239" s="12" t="s">
        <v>560</v>
      </c>
      <c r="B239" s="12" t="s">
        <v>2</v>
      </c>
      <c r="C239" s="12" t="s">
        <v>561</v>
      </c>
      <c r="D239" s="12" t="s">
        <v>564</v>
      </c>
      <c r="E239" s="12" t="s">
        <v>425</v>
      </c>
      <c r="F239" s="7" t="s">
        <v>653</v>
      </c>
      <c r="G239" s="7">
        <v>44964</v>
      </c>
      <c r="H239" s="12" t="s">
        <v>11</v>
      </c>
      <c r="I239" s="12" t="s">
        <v>10</v>
      </c>
      <c r="J239" s="12" t="s">
        <v>2</v>
      </c>
      <c r="K239" s="12"/>
      <c r="L239" s="12"/>
      <c r="M239" s="12"/>
      <c r="N239" s="12"/>
      <c r="O239" s="12"/>
      <c r="P239" s="12"/>
      <c r="Q239" s="12"/>
      <c r="R239" s="12"/>
      <c r="S239" s="12"/>
      <c r="T239" s="12"/>
      <c r="U239" s="12"/>
      <c r="V239" s="12"/>
      <c r="W239" s="12"/>
      <c r="X239" s="12"/>
      <c r="Y239" s="12"/>
      <c r="Z239" s="12" t="s">
        <v>789</v>
      </c>
      <c r="AK239" s="1" t="s">
        <v>653</v>
      </c>
    </row>
    <row r="240" spans="1:39" ht="16.350000000000001" hidden="1" customHeight="1" x14ac:dyDescent="0.2">
      <c r="A240" s="12" t="s">
        <v>791</v>
      </c>
      <c r="B240" s="12" t="s">
        <v>791</v>
      </c>
      <c r="C240" s="12" t="s">
        <v>424</v>
      </c>
      <c r="D240" s="12" t="s">
        <v>424</v>
      </c>
      <c r="E240" s="12" t="s">
        <v>425</v>
      </c>
      <c r="F240" s="7" t="s">
        <v>570</v>
      </c>
      <c r="G240" s="7"/>
      <c r="H240" s="12" t="s">
        <v>570</v>
      </c>
      <c r="I240" s="12" t="s">
        <v>134</v>
      </c>
      <c r="J240" s="12" t="s">
        <v>2</v>
      </c>
      <c r="K240" s="12"/>
      <c r="L240" s="12"/>
      <c r="M240" s="12"/>
      <c r="N240" s="12"/>
      <c r="O240" s="12"/>
      <c r="P240" s="12"/>
      <c r="Q240" s="12"/>
      <c r="R240" s="12"/>
      <c r="S240" s="12"/>
      <c r="T240" s="12"/>
      <c r="U240" s="12"/>
      <c r="V240" s="12"/>
      <c r="W240" s="12"/>
      <c r="X240" s="12"/>
      <c r="Y240" s="12"/>
      <c r="Z240" s="12" t="s">
        <v>620</v>
      </c>
      <c r="AA240" s="1" t="s">
        <v>2</v>
      </c>
      <c r="AB240" s="1" t="s">
        <v>2</v>
      </c>
      <c r="AC240" s="1" t="s">
        <v>2</v>
      </c>
      <c r="AD240" s="1" t="s">
        <v>2</v>
      </c>
      <c r="AE240" s="1" t="s">
        <v>2</v>
      </c>
      <c r="AF240" s="1" t="s">
        <v>2</v>
      </c>
      <c r="AG240" s="1" t="s">
        <v>2</v>
      </c>
      <c r="AH240" s="1" t="s">
        <v>2</v>
      </c>
      <c r="AI240" s="1" t="s">
        <v>2</v>
      </c>
      <c r="AJ240" s="1" t="s">
        <v>2</v>
      </c>
      <c r="AK240" s="1" t="s">
        <v>570</v>
      </c>
    </row>
    <row r="241" spans="1:39" ht="16.350000000000001" customHeight="1" x14ac:dyDescent="0.2">
      <c r="A241" s="12" t="s">
        <v>562</v>
      </c>
      <c r="B241" s="12" t="s">
        <v>2</v>
      </c>
      <c r="C241" s="12" t="s">
        <v>563</v>
      </c>
      <c r="D241" s="12" t="s">
        <v>564</v>
      </c>
      <c r="E241" s="12" t="s">
        <v>425</v>
      </c>
      <c r="F241" s="7" t="s">
        <v>625</v>
      </c>
      <c r="G241" s="7">
        <v>45225</v>
      </c>
      <c r="H241" s="12" t="s">
        <v>11</v>
      </c>
      <c r="I241" s="12" t="s">
        <v>536</v>
      </c>
      <c r="J241" s="12" t="s">
        <v>2</v>
      </c>
      <c r="K241" s="12"/>
      <c r="L241" s="12"/>
      <c r="M241" s="12"/>
      <c r="N241" s="12"/>
      <c r="O241" s="12"/>
      <c r="P241" s="12"/>
      <c r="Q241" s="12"/>
      <c r="R241" s="12"/>
      <c r="S241" s="12"/>
      <c r="T241" s="12"/>
      <c r="U241" s="12"/>
      <c r="V241" s="12"/>
      <c r="W241" s="12"/>
      <c r="X241" s="12"/>
      <c r="Y241" s="12"/>
      <c r="Z241" s="12" t="s">
        <v>789</v>
      </c>
      <c r="AA241" s="1" t="s">
        <v>2</v>
      </c>
      <c r="AB241" s="1" t="s">
        <v>2</v>
      </c>
      <c r="AC241" s="1" t="s">
        <v>2</v>
      </c>
      <c r="AD241" s="1" t="s">
        <v>2</v>
      </c>
      <c r="AE241" s="1" t="s">
        <v>2</v>
      </c>
      <c r="AF241" s="1" t="s">
        <v>2</v>
      </c>
      <c r="AG241" s="1" t="s">
        <v>2</v>
      </c>
      <c r="AH241" s="1" t="s">
        <v>2</v>
      </c>
      <c r="AI241" s="1" t="s">
        <v>2</v>
      </c>
      <c r="AJ241" s="1" t="s">
        <v>2</v>
      </c>
      <c r="AK241" s="1" t="s">
        <v>625</v>
      </c>
    </row>
    <row r="242" spans="1:39" ht="16.350000000000001" hidden="1" customHeight="1" x14ac:dyDescent="0.2">
      <c r="A242" s="12" t="s">
        <v>81</v>
      </c>
      <c r="B242" s="12" t="s">
        <v>82</v>
      </c>
      <c r="C242" s="12" t="s">
        <v>83</v>
      </c>
      <c r="D242" s="12" t="s">
        <v>476</v>
      </c>
      <c r="E242" s="12" t="s">
        <v>19</v>
      </c>
      <c r="F242" s="7" t="s">
        <v>570</v>
      </c>
      <c r="G242" s="7"/>
      <c r="H242" s="12" t="s">
        <v>11</v>
      </c>
      <c r="I242" s="12" t="s">
        <v>16</v>
      </c>
      <c r="J242" s="12" t="s">
        <v>593</v>
      </c>
      <c r="K242" s="12"/>
      <c r="L242" s="12"/>
      <c r="M242" s="12"/>
      <c r="N242" s="12"/>
      <c r="O242" s="12"/>
      <c r="P242" s="12"/>
      <c r="Q242" s="12"/>
      <c r="R242" s="12"/>
      <c r="S242" s="12"/>
      <c r="T242" s="12"/>
      <c r="U242" s="12"/>
      <c r="V242" s="12"/>
      <c r="W242" s="12"/>
      <c r="X242" s="12"/>
      <c r="Y242" s="12"/>
      <c r="Z242" s="12" t="s">
        <v>620</v>
      </c>
      <c r="AA242" s="1" t="s">
        <v>2</v>
      </c>
      <c r="AB242" s="1" t="s">
        <v>2</v>
      </c>
      <c r="AC242" s="1" t="s">
        <v>2</v>
      </c>
      <c r="AD242" s="1" t="s">
        <v>2</v>
      </c>
      <c r="AE242" s="1" t="s">
        <v>2</v>
      </c>
      <c r="AF242" s="1" t="s">
        <v>2</v>
      </c>
      <c r="AG242" s="1" t="s">
        <v>2</v>
      </c>
      <c r="AH242" s="1" t="s">
        <v>2</v>
      </c>
      <c r="AI242" s="1" t="s">
        <v>2</v>
      </c>
      <c r="AJ242" s="1" t="s">
        <v>2</v>
      </c>
      <c r="AK242" s="1" t="s">
        <v>570</v>
      </c>
    </row>
    <row r="243" spans="1:39" ht="16.350000000000001" hidden="1" customHeight="1" x14ac:dyDescent="0.2">
      <c r="A243" s="12" t="s">
        <v>103</v>
      </c>
      <c r="B243" s="12" t="s">
        <v>808</v>
      </c>
      <c r="C243" s="12" t="s">
        <v>104</v>
      </c>
      <c r="D243" s="12" t="s">
        <v>154</v>
      </c>
      <c r="E243" s="12" t="s">
        <v>19</v>
      </c>
      <c r="F243" s="7" t="s">
        <v>570</v>
      </c>
      <c r="G243" s="7"/>
      <c r="H243" s="12" t="s">
        <v>11</v>
      </c>
      <c r="I243" s="12" t="s">
        <v>25</v>
      </c>
      <c r="J243" s="12" t="s">
        <v>619</v>
      </c>
      <c r="K243" s="12"/>
      <c r="L243" s="12"/>
      <c r="M243" s="12"/>
      <c r="N243" s="12"/>
      <c r="O243" s="12"/>
      <c r="P243" s="12"/>
      <c r="Q243" s="12"/>
      <c r="R243" s="12"/>
      <c r="S243" s="12"/>
      <c r="T243" s="12"/>
      <c r="U243" s="12"/>
      <c r="V243" s="12"/>
      <c r="W243" s="12"/>
      <c r="X243" s="12"/>
      <c r="Y243" s="12"/>
      <c r="Z243" s="12" t="s">
        <v>620</v>
      </c>
      <c r="AA243" s="1" t="s">
        <v>2</v>
      </c>
      <c r="AB243" s="1" t="s">
        <v>2</v>
      </c>
      <c r="AC243" s="1" t="s">
        <v>2</v>
      </c>
      <c r="AD243" s="1" t="s">
        <v>2</v>
      </c>
      <c r="AE243" s="1" t="s">
        <v>2</v>
      </c>
      <c r="AF243" s="1" t="s">
        <v>2</v>
      </c>
      <c r="AG243" s="1" t="s">
        <v>2</v>
      </c>
      <c r="AH243" s="1" t="s">
        <v>2</v>
      </c>
      <c r="AI243" s="1" t="s">
        <v>2</v>
      </c>
      <c r="AJ243" s="1" t="s">
        <v>2</v>
      </c>
      <c r="AK243" s="1" t="s">
        <v>570</v>
      </c>
    </row>
    <row r="244" spans="1:39" ht="16.350000000000001" hidden="1" customHeight="1" x14ac:dyDescent="0.2">
      <c r="A244" s="12" t="s">
        <v>221</v>
      </c>
      <c r="B244" s="12" t="s">
        <v>234</v>
      </c>
      <c r="C244" s="12" t="s">
        <v>222</v>
      </c>
      <c r="D244" s="12" t="s">
        <v>157</v>
      </c>
      <c r="E244" s="12" t="s">
        <v>19</v>
      </c>
      <c r="F244" s="7" t="s">
        <v>570</v>
      </c>
      <c r="G244" s="7"/>
      <c r="H244" s="12" t="s">
        <v>11</v>
      </c>
      <c r="I244" s="12" t="s">
        <v>16</v>
      </c>
      <c r="J244" s="12" t="s">
        <v>718</v>
      </c>
      <c r="K244" s="12"/>
      <c r="L244" s="12"/>
      <c r="M244" s="12"/>
      <c r="N244" s="12"/>
      <c r="O244" s="12"/>
      <c r="P244" s="12"/>
      <c r="Q244" s="12"/>
      <c r="R244" s="12"/>
      <c r="S244" s="12"/>
      <c r="T244" s="12"/>
      <c r="U244" s="12"/>
      <c r="V244" s="12"/>
      <c r="W244" s="12"/>
      <c r="X244" s="12"/>
      <c r="Y244" s="12"/>
      <c r="Z244" s="12" t="s">
        <v>619</v>
      </c>
      <c r="AA244" s="1" t="s">
        <v>2</v>
      </c>
      <c r="AB244" s="1" t="s">
        <v>2</v>
      </c>
      <c r="AC244" s="1" t="s">
        <v>2</v>
      </c>
      <c r="AD244" s="1" t="s">
        <v>2</v>
      </c>
      <c r="AE244" s="1" t="s">
        <v>2</v>
      </c>
      <c r="AF244" s="1" t="s">
        <v>2</v>
      </c>
      <c r="AG244" s="1" t="s">
        <v>2</v>
      </c>
      <c r="AH244" s="1" t="s">
        <v>2</v>
      </c>
      <c r="AI244" s="1" t="s">
        <v>2</v>
      </c>
      <c r="AJ244" s="1" t="s">
        <v>2</v>
      </c>
      <c r="AK244" s="1" t="s">
        <v>570</v>
      </c>
    </row>
    <row r="245" spans="1:39" ht="16.350000000000001" hidden="1" customHeight="1" x14ac:dyDescent="0.2">
      <c r="A245" s="12" t="s">
        <v>565</v>
      </c>
      <c r="B245" s="12" t="s">
        <v>2</v>
      </c>
      <c r="C245" s="12" t="s">
        <v>566</v>
      </c>
      <c r="D245" s="12" t="s">
        <v>564</v>
      </c>
      <c r="E245" s="12" t="s">
        <v>425</v>
      </c>
      <c r="F245" s="7" t="s">
        <v>570</v>
      </c>
      <c r="G245" s="7"/>
      <c r="H245" s="12" t="s">
        <v>11</v>
      </c>
      <c r="I245" s="12" t="s">
        <v>10</v>
      </c>
      <c r="J245" s="12" t="s">
        <v>671</v>
      </c>
      <c r="K245" s="12"/>
      <c r="L245" s="12"/>
      <c r="M245" s="12"/>
      <c r="N245" s="12"/>
      <c r="O245" s="12"/>
      <c r="P245" s="12"/>
      <c r="Q245" s="12"/>
      <c r="R245" s="12"/>
      <c r="S245" s="12"/>
      <c r="T245" s="12"/>
      <c r="U245" s="12"/>
      <c r="V245" s="12"/>
      <c r="W245" s="12"/>
      <c r="X245" s="12"/>
      <c r="Y245" s="12"/>
      <c r="Z245" s="12" t="s">
        <v>620</v>
      </c>
      <c r="AA245" s="1" t="s">
        <v>2</v>
      </c>
      <c r="AB245" s="1" t="s">
        <v>2</v>
      </c>
      <c r="AC245" s="1" t="s">
        <v>2</v>
      </c>
      <c r="AD245" s="1" t="s">
        <v>2</v>
      </c>
      <c r="AE245" s="1" t="s">
        <v>2</v>
      </c>
      <c r="AF245" s="1" t="s">
        <v>2</v>
      </c>
      <c r="AG245" s="1" t="s">
        <v>2</v>
      </c>
      <c r="AH245" s="1" t="s">
        <v>2</v>
      </c>
      <c r="AI245" s="1" t="s">
        <v>2</v>
      </c>
      <c r="AJ245" s="1" t="s">
        <v>2</v>
      </c>
      <c r="AK245" s="1" t="s">
        <v>570</v>
      </c>
    </row>
    <row r="246" spans="1:39" ht="16.350000000000001" hidden="1" customHeight="1" x14ac:dyDescent="0.2">
      <c r="A246" s="12" t="s">
        <v>382</v>
      </c>
      <c r="B246" s="12" t="s">
        <v>145</v>
      </c>
      <c r="C246" s="12" t="s">
        <v>383</v>
      </c>
      <c r="D246" s="12" t="s">
        <v>157</v>
      </c>
      <c r="E246" s="12" t="s">
        <v>19</v>
      </c>
      <c r="F246" s="7"/>
      <c r="G246" s="7" t="s">
        <v>643</v>
      </c>
      <c r="H246" s="12" t="s">
        <v>11</v>
      </c>
      <c r="I246" s="12" t="s">
        <v>10</v>
      </c>
      <c r="J246" s="12" t="s">
        <v>644</v>
      </c>
      <c r="K246" s="12"/>
      <c r="L246" s="12"/>
      <c r="M246" s="12"/>
      <c r="N246" s="12"/>
      <c r="O246" s="12"/>
      <c r="P246" s="12"/>
      <c r="Q246" s="12"/>
      <c r="R246" s="12"/>
      <c r="S246" s="12"/>
      <c r="T246" s="12"/>
      <c r="U246" s="12"/>
      <c r="V246" s="12"/>
      <c r="W246" s="12"/>
      <c r="X246" s="12"/>
      <c r="Y246" s="12"/>
      <c r="Z246" s="12" t="s">
        <v>643</v>
      </c>
      <c r="AA246" s="1" t="s">
        <v>2</v>
      </c>
      <c r="AB246" s="1" t="s">
        <v>2</v>
      </c>
      <c r="AC246" s="1" t="s">
        <v>2</v>
      </c>
      <c r="AD246" s="1" t="s">
        <v>2</v>
      </c>
      <c r="AE246" s="1" t="s">
        <v>2</v>
      </c>
      <c r="AF246" s="1" t="s">
        <v>2</v>
      </c>
      <c r="AG246" s="1" t="s">
        <v>2</v>
      </c>
      <c r="AH246" s="1" t="s">
        <v>2</v>
      </c>
      <c r="AI246" s="1" t="s">
        <v>2</v>
      </c>
      <c r="AJ246" s="1" t="s">
        <v>2</v>
      </c>
    </row>
    <row r="247" spans="1:39" ht="16.350000000000001" hidden="1" customHeight="1" x14ac:dyDescent="0.2">
      <c r="A247" s="12" t="s">
        <v>384</v>
      </c>
      <c r="B247" s="12" t="s">
        <v>148</v>
      </c>
      <c r="C247" s="12" t="s">
        <v>385</v>
      </c>
      <c r="D247" s="12" t="s">
        <v>157</v>
      </c>
      <c r="E247" s="12" t="s">
        <v>19</v>
      </c>
      <c r="F247" s="7"/>
      <c r="G247" s="7" t="s">
        <v>643</v>
      </c>
      <c r="H247" s="12" t="s">
        <v>11</v>
      </c>
      <c r="I247" s="12" t="s">
        <v>10</v>
      </c>
      <c r="J247" s="12" t="s">
        <v>644</v>
      </c>
      <c r="K247" s="12"/>
      <c r="L247" s="12"/>
      <c r="M247" s="12"/>
      <c r="N247" s="12"/>
      <c r="O247" s="12"/>
      <c r="P247" s="12"/>
      <c r="Q247" s="12"/>
      <c r="R247" s="12"/>
      <c r="S247" s="12"/>
      <c r="T247" s="12"/>
      <c r="U247" s="12"/>
      <c r="V247" s="12"/>
      <c r="W247" s="12"/>
      <c r="X247" s="12"/>
      <c r="Y247" s="12"/>
      <c r="Z247" s="12" t="s">
        <v>643</v>
      </c>
      <c r="AA247" s="1" t="s">
        <v>2</v>
      </c>
      <c r="AB247" s="1" t="s">
        <v>2</v>
      </c>
      <c r="AC247" s="1" t="s">
        <v>2</v>
      </c>
      <c r="AD247" s="1" t="s">
        <v>2</v>
      </c>
      <c r="AE247" s="1" t="s">
        <v>2</v>
      </c>
      <c r="AF247" s="1" t="s">
        <v>2</v>
      </c>
      <c r="AG247" s="1" t="s">
        <v>2</v>
      </c>
      <c r="AH247" s="1" t="s">
        <v>2</v>
      </c>
      <c r="AI247" s="1" t="s">
        <v>2</v>
      </c>
      <c r="AJ247" s="1" t="s">
        <v>2</v>
      </c>
    </row>
    <row r="248" spans="1:39" ht="16.350000000000001" customHeight="1" x14ac:dyDescent="0.2">
      <c r="A248" s="12" t="s">
        <v>793</v>
      </c>
      <c r="B248" s="12" t="s">
        <v>793</v>
      </c>
      <c r="C248" s="12" t="s">
        <v>424</v>
      </c>
      <c r="D248" s="12" t="s">
        <v>424</v>
      </c>
      <c r="E248" s="12" t="s">
        <v>425</v>
      </c>
      <c r="F248" s="7" t="s">
        <v>792</v>
      </c>
      <c r="G248" s="7">
        <v>44937</v>
      </c>
      <c r="H248" s="12" t="s">
        <v>11</v>
      </c>
      <c r="I248" s="12" t="s">
        <v>134</v>
      </c>
      <c r="J248" s="12" t="s">
        <v>2</v>
      </c>
      <c r="K248" s="12"/>
      <c r="L248" s="12"/>
      <c r="M248" s="12"/>
      <c r="N248" s="12"/>
      <c r="O248" s="12"/>
      <c r="P248" s="12"/>
      <c r="Q248" s="12"/>
      <c r="R248" s="12"/>
      <c r="S248" s="12"/>
      <c r="T248" s="12"/>
      <c r="U248" s="12"/>
      <c r="V248" s="12"/>
      <c r="W248" s="12"/>
      <c r="X248" s="12"/>
      <c r="Y248" s="12"/>
      <c r="Z248" s="12" t="s">
        <v>789</v>
      </c>
      <c r="AA248" s="1" t="s">
        <v>31</v>
      </c>
      <c r="AB248" s="1" t="s">
        <v>2</v>
      </c>
      <c r="AC248" s="1" t="s">
        <v>2</v>
      </c>
      <c r="AD248" s="1" t="s">
        <v>2</v>
      </c>
      <c r="AE248" s="1" t="s">
        <v>2</v>
      </c>
      <c r="AF248" s="1" t="s">
        <v>2</v>
      </c>
      <c r="AG248" s="1" t="s">
        <v>2</v>
      </c>
      <c r="AH248" s="1" t="s">
        <v>2</v>
      </c>
      <c r="AI248" s="1" t="s">
        <v>2</v>
      </c>
      <c r="AJ248" s="1" t="s">
        <v>2</v>
      </c>
      <c r="AK248" s="1" t="s">
        <v>792</v>
      </c>
    </row>
    <row r="249" spans="1:39" ht="16.350000000000001" customHeight="1" x14ac:dyDescent="0.2">
      <c r="A249" s="12" t="s">
        <v>849</v>
      </c>
      <c r="B249" s="12">
        <v>132104330</v>
      </c>
      <c r="C249" s="12" t="s">
        <v>850</v>
      </c>
      <c r="D249" s="12" t="s">
        <v>476</v>
      </c>
      <c r="E249" s="12" t="s">
        <v>425</v>
      </c>
      <c r="F249" s="7" t="s">
        <v>841</v>
      </c>
      <c r="G249" s="7">
        <v>45631</v>
      </c>
      <c r="H249" s="12" t="s">
        <v>11</v>
      </c>
      <c r="I249" s="12" t="s">
        <v>20</v>
      </c>
      <c r="J249" s="12" t="s">
        <v>858</v>
      </c>
      <c r="K249" s="12"/>
      <c r="L249" s="12"/>
      <c r="M249" s="12"/>
      <c r="N249" s="12"/>
      <c r="O249" s="12"/>
      <c r="P249" s="12"/>
      <c r="Q249" s="12"/>
      <c r="R249" s="12"/>
      <c r="S249" s="12"/>
      <c r="T249" s="12"/>
      <c r="U249" s="12"/>
      <c r="V249" s="12"/>
      <c r="W249" s="12"/>
      <c r="X249" s="12"/>
      <c r="Y249" s="12"/>
      <c r="Z249" s="12" t="s">
        <v>789</v>
      </c>
      <c r="AA249" s="1" t="s">
        <v>851</v>
      </c>
      <c r="AB249" s="1" t="s">
        <v>851</v>
      </c>
      <c r="AC249" s="1" t="s">
        <v>852</v>
      </c>
      <c r="AD249" s="1" t="s">
        <v>852</v>
      </c>
      <c r="AE249" s="1" t="s">
        <v>2</v>
      </c>
      <c r="AF249" s="1" t="s">
        <v>2</v>
      </c>
      <c r="AG249" s="1" t="s">
        <v>2</v>
      </c>
      <c r="AH249" s="1" t="s">
        <v>2</v>
      </c>
      <c r="AI249" s="1" t="s">
        <v>2</v>
      </c>
      <c r="AJ249" s="1" t="s">
        <v>2</v>
      </c>
      <c r="AK249" s="9">
        <v>44900.460150462961</v>
      </c>
      <c r="AL249" s="9">
        <v>44902.364074074074</v>
      </c>
      <c r="AM249" s="9">
        <v>44902.363969907405</v>
      </c>
    </row>
    <row r="250" spans="1:39" ht="16.350000000000001" customHeight="1" x14ac:dyDescent="0.2">
      <c r="A250" s="12" t="s">
        <v>853</v>
      </c>
      <c r="B250" s="12">
        <v>131104110</v>
      </c>
      <c r="C250" s="12" t="s">
        <v>854</v>
      </c>
      <c r="D250" s="12" t="s">
        <v>476</v>
      </c>
      <c r="E250" s="12" t="s">
        <v>425</v>
      </c>
      <c r="F250" s="7" t="s">
        <v>841</v>
      </c>
      <c r="G250" s="7">
        <v>45631</v>
      </c>
      <c r="H250" s="12" t="s">
        <v>11</v>
      </c>
      <c r="I250" s="12" t="s">
        <v>9</v>
      </c>
      <c r="J250" s="12" t="s">
        <v>859</v>
      </c>
      <c r="K250" s="12"/>
      <c r="L250" s="12"/>
      <c r="M250" s="12"/>
      <c r="N250" s="12"/>
      <c r="O250" s="12"/>
      <c r="P250" s="12"/>
      <c r="Q250" s="12"/>
      <c r="R250" s="12"/>
      <c r="S250" s="12"/>
      <c r="T250" s="12"/>
      <c r="U250" s="12"/>
      <c r="V250" s="12"/>
      <c r="W250" s="12"/>
      <c r="X250" s="12"/>
      <c r="Y250" s="12"/>
      <c r="Z250" s="12" t="s">
        <v>789</v>
      </c>
      <c r="AA250" s="1" t="s">
        <v>855</v>
      </c>
      <c r="AB250" s="1" t="s">
        <v>855</v>
      </c>
      <c r="AC250" s="1" t="s">
        <v>2</v>
      </c>
      <c r="AD250" s="1" t="s">
        <v>2</v>
      </c>
      <c r="AE250" s="1" t="s">
        <v>2</v>
      </c>
      <c r="AF250" s="1" t="s">
        <v>2</v>
      </c>
      <c r="AG250" s="1" t="s">
        <v>2</v>
      </c>
      <c r="AH250" s="1" t="s">
        <v>2</v>
      </c>
      <c r="AI250" s="1" t="s">
        <v>2</v>
      </c>
      <c r="AJ250" s="1" t="s">
        <v>2</v>
      </c>
      <c r="AK250" s="9">
        <v>44900.460925925923</v>
      </c>
      <c r="AL250" s="9">
        <v>44904.319490740738</v>
      </c>
      <c r="AM250" s="9">
        <v>44904.319456018522</v>
      </c>
    </row>
    <row r="251" spans="1:39" ht="16.350000000000001" customHeight="1" x14ac:dyDescent="0.2">
      <c r="A251" s="12" t="s">
        <v>856</v>
      </c>
      <c r="B251" s="12" t="s">
        <v>790</v>
      </c>
      <c r="C251" s="12" t="s">
        <v>854</v>
      </c>
      <c r="D251" s="12" t="s">
        <v>476</v>
      </c>
      <c r="E251" s="12" t="s">
        <v>425</v>
      </c>
      <c r="F251" s="7" t="s">
        <v>841</v>
      </c>
      <c r="G251" s="7">
        <v>45631</v>
      </c>
      <c r="H251" s="12" t="s">
        <v>11</v>
      </c>
      <c r="I251" s="12" t="s">
        <v>9</v>
      </c>
      <c r="J251" s="12" t="s">
        <v>865</v>
      </c>
      <c r="K251" s="12"/>
      <c r="L251" s="12"/>
      <c r="M251" s="12"/>
      <c r="N251" s="12"/>
      <c r="O251" s="12"/>
      <c r="P251" s="12"/>
      <c r="Q251" s="12"/>
      <c r="R251" s="12"/>
      <c r="S251" s="12"/>
      <c r="T251" s="12"/>
      <c r="U251" s="12"/>
      <c r="V251" s="12"/>
      <c r="W251" s="12"/>
      <c r="X251" s="12"/>
      <c r="Y251" s="12"/>
      <c r="Z251" s="12" t="s">
        <v>789</v>
      </c>
      <c r="AA251" s="1" t="s">
        <v>855</v>
      </c>
      <c r="AB251" s="1" t="s">
        <v>855</v>
      </c>
      <c r="AC251" s="1" t="s">
        <v>2</v>
      </c>
      <c r="AD251" s="1" t="s">
        <v>2</v>
      </c>
      <c r="AE251" s="1" t="s">
        <v>2</v>
      </c>
      <c r="AF251" s="1" t="s">
        <v>2</v>
      </c>
      <c r="AG251" s="1" t="s">
        <v>2</v>
      </c>
      <c r="AH251" s="1" t="s">
        <v>2</v>
      </c>
      <c r="AI251" s="1" t="s">
        <v>2</v>
      </c>
      <c r="AJ251" s="1" t="s">
        <v>2</v>
      </c>
      <c r="AK251" s="9">
        <v>44900.461041666669</v>
      </c>
      <c r="AL251" s="9">
        <v>44907.320138888892</v>
      </c>
      <c r="AM251" s="9">
        <v>44907.320057870369</v>
      </c>
    </row>
    <row r="252" spans="1:39" ht="16.350000000000001" customHeight="1" x14ac:dyDescent="0.2">
      <c r="A252" s="24"/>
      <c r="B252" s="24" t="s">
        <v>2</v>
      </c>
      <c r="C252" s="24" t="s">
        <v>2</v>
      </c>
      <c r="D252" s="24" t="s">
        <v>2</v>
      </c>
      <c r="E252" s="24" t="s">
        <v>2</v>
      </c>
      <c r="F252" s="25" t="s">
        <v>2</v>
      </c>
      <c r="G252" s="25" t="s">
        <v>2</v>
      </c>
      <c r="H252" s="24" t="s">
        <v>2</v>
      </c>
      <c r="I252" s="24" t="s">
        <v>2</v>
      </c>
      <c r="J252" s="24" t="s">
        <v>2</v>
      </c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 t="s">
        <v>2</v>
      </c>
      <c r="AA252" s="1" t="s">
        <v>2</v>
      </c>
      <c r="AB252" s="1" t="s">
        <v>2</v>
      </c>
      <c r="AC252" s="1" t="s">
        <v>2</v>
      </c>
      <c r="AD252" s="1" t="s">
        <v>2</v>
      </c>
      <c r="AE252" s="1" t="s">
        <v>2</v>
      </c>
      <c r="AF252" s="1" t="s">
        <v>2</v>
      </c>
      <c r="AG252" s="1" t="s">
        <v>2</v>
      </c>
      <c r="AH252" s="1" t="s">
        <v>2</v>
      </c>
      <c r="AI252" s="1" t="s">
        <v>2</v>
      </c>
      <c r="AJ252" s="1" t="s">
        <v>2</v>
      </c>
      <c r="AK252" s="9">
        <v>44907.303796296299</v>
      </c>
    </row>
    <row r="253" spans="1:39" ht="16.350000000000001" customHeight="1" x14ac:dyDescent="0.2">
      <c r="A253" s="12"/>
      <c r="B253" s="12"/>
      <c r="C253" s="12"/>
      <c r="D253" s="12"/>
      <c r="E253" s="12"/>
      <c r="F253" s="7"/>
      <c r="G253" s="7"/>
      <c r="H253" s="12"/>
      <c r="I253" s="12"/>
      <c r="J253" s="12"/>
      <c r="K253" s="12"/>
      <c r="L253" s="12"/>
      <c r="M253" s="12"/>
      <c r="N253" s="12"/>
      <c r="O253" s="12"/>
      <c r="P253" s="12"/>
      <c r="Q253" s="12"/>
      <c r="R253" s="12"/>
      <c r="S253" s="12"/>
      <c r="T253" s="12"/>
      <c r="U253" s="12"/>
      <c r="V253" s="12"/>
      <c r="W253" s="12"/>
      <c r="X253" s="12"/>
      <c r="Y253" s="12"/>
      <c r="Z253" s="12"/>
    </row>
    <row r="254" spans="1:39" ht="16.350000000000001" customHeight="1" x14ac:dyDescent="0.2">
      <c r="A254" s="12"/>
      <c r="B254" s="12"/>
      <c r="C254" s="12"/>
      <c r="D254" s="12"/>
      <c r="E254" s="12"/>
      <c r="F254" s="7"/>
      <c r="G254" s="7"/>
      <c r="H254" s="12"/>
      <c r="I254" s="12"/>
      <c r="J254" s="12"/>
      <c r="K254" s="12"/>
      <c r="L254" s="12"/>
      <c r="M254" s="12"/>
      <c r="N254" s="12"/>
      <c r="O254" s="12"/>
      <c r="P254" s="12"/>
      <c r="Q254" s="12"/>
      <c r="R254" s="12"/>
      <c r="S254" s="12"/>
      <c r="T254" s="12"/>
      <c r="U254" s="12"/>
      <c r="V254" s="12"/>
      <c r="W254" s="12"/>
      <c r="X254" s="12"/>
      <c r="Y254" s="12"/>
      <c r="Z254" s="12"/>
    </row>
    <row r="255" spans="1:39" ht="16.350000000000001" customHeight="1" x14ac:dyDescent="0.2">
      <c r="A255" s="12"/>
      <c r="B255" s="12"/>
      <c r="C255" s="12"/>
      <c r="D255" s="12"/>
      <c r="E255" s="12"/>
      <c r="F255" s="7"/>
      <c r="G255" s="7"/>
      <c r="H255" s="12"/>
      <c r="I255" s="12"/>
      <c r="J255" s="12"/>
      <c r="K255" s="12"/>
      <c r="L255" s="12"/>
      <c r="M255" s="12"/>
      <c r="N255" s="12"/>
      <c r="O255" s="12"/>
      <c r="P255" s="12"/>
      <c r="Q255" s="12"/>
      <c r="R255" s="12"/>
      <c r="S255" s="12"/>
      <c r="T255" s="12"/>
      <c r="U255" s="12"/>
      <c r="V255" s="12"/>
      <c r="W255" s="12"/>
      <c r="X255" s="12"/>
      <c r="Y255" s="12"/>
      <c r="Z255" s="12"/>
    </row>
    <row r="256" spans="1:39" ht="16.350000000000001" customHeight="1" x14ac:dyDescent="0.2">
      <c r="A256" s="12"/>
      <c r="B256" s="12"/>
      <c r="C256" s="12"/>
      <c r="D256" s="12"/>
      <c r="E256" s="12"/>
      <c r="F256" s="7"/>
      <c r="G256" s="7"/>
      <c r="H256" s="12"/>
      <c r="I256" s="12"/>
      <c r="J256" s="12"/>
      <c r="K256" s="12"/>
      <c r="L256" s="12"/>
      <c r="M256" s="12"/>
      <c r="N256" s="12"/>
      <c r="O256" s="12"/>
      <c r="P256" s="12"/>
      <c r="Q256" s="12"/>
      <c r="R256" s="12"/>
      <c r="S256" s="12"/>
      <c r="T256" s="12"/>
      <c r="U256" s="12"/>
      <c r="V256" s="12"/>
      <c r="W256" s="12"/>
      <c r="X256" s="12"/>
      <c r="Y256" s="12"/>
      <c r="Z256" s="12"/>
    </row>
    <row r="257" spans="1:26" ht="16.350000000000001" customHeight="1" x14ac:dyDescent="0.2">
      <c r="A257" s="12"/>
      <c r="B257" s="12"/>
      <c r="C257" s="12"/>
      <c r="D257" s="12"/>
      <c r="E257" s="12"/>
      <c r="F257" s="7"/>
      <c r="G257" s="7"/>
      <c r="H257" s="12"/>
      <c r="I257" s="12"/>
      <c r="J257" s="12"/>
      <c r="K257" s="12"/>
      <c r="L257" s="12"/>
      <c r="M257" s="12"/>
      <c r="N257" s="12"/>
      <c r="O257" s="12"/>
      <c r="P257" s="12"/>
      <c r="Q257" s="12"/>
      <c r="R257" s="12"/>
      <c r="S257" s="12"/>
      <c r="T257" s="12"/>
      <c r="U257" s="12"/>
      <c r="V257" s="12"/>
      <c r="W257" s="12"/>
      <c r="X257" s="12"/>
      <c r="Y257" s="12"/>
      <c r="Z257" s="12"/>
    </row>
    <row r="258" spans="1:26" ht="16.350000000000001" customHeight="1" x14ac:dyDescent="0.2">
      <c r="A258" s="12"/>
      <c r="B258" s="12"/>
      <c r="C258" s="12"/>
      <c r="D258" s="12"/>
      <c r="E258" s="12"/>
      <c r="F258" s="7"/>
      <c r="G258" s="7"/>
      <c r="H258" s="12"/>
      <c r="I258" s="12"/>
      <c r="J258" s="12"/>
      <c r="K258" s="12"/>
      <c r="L258" s="12"/>
      <c r="M258" s="12"/>
      <c r="N258" s="12"/>
      <c r="O258" s="12"/>
      <c r="P258" s="12"/>
      <c r="Q258" s="12"/>
      <c r="R258" s="12"/>
      <c r="S258" s="12"/>
      <c r="T258" s="12"/>
      <c r="U258" s="12"/>
      <c r="V258" s="12"/>
      <c r="W258" s="12"/>
      <c r="X258" s="12"/>
      <c r="Y258" s="12"/>
      <c r="Z258" s="12"/>
    </row>
    <row r="259" spans="1:26" ht="16.350000000000001" customHeight="1" x14ac:dyDescent="0.2">
      <c r="A259" s="12"/>
      <c r="B259" s="12"/>
      <c r="C259" s="12"/>
      <c r="D259" s="12"/>
      <c r="E259" s="12"/>
      <c r="F259" s="7"/>
      <c r="G259" s="7"/>
      <c r="H259" s="12"/>
      <c r="I259" s="12"/>
      <c r="J259" s="12"/>
      <c r="K259" s="12"/>
      <c r="L259" s="12"/>
      <c r="M259" s="12"/>
      <c r="N259" s="12"/>
      <c r="O259" s="12"/>
      <c r="P259" s="12"/>
      <c r="Q259" s="12"/>
      <c r="R259" s="12"/>
      <c r="S259" s="12"/>
      <c r="T259" s="12"/>
      <c r="U259" s="12"/>
      <c r="V259" s="12"/>
      <c r="W259" s="12"/>
      <c r="X259" s="12"/>
      <c r="Y259" s="12"/>
      <c r="Z259" s="12"/>
    </row>
    <row r="260" spans="1:26" ht="16.350000000000001" customHeight="1" x14ac:dyDescent="0.2">
      <c r="A260" s="12"/>
      <c r="B260" s="12"/>
      <c r="C260" s="12"/>
      <c r="D260" s="12"/>
      <c r="E260" s="12"/>
      <c r="F260" s="7"/>
      <c r="G260" s="7"/>
      <c r="H260" s="12"/>
      <c r="I260" s="12"/>
      <c r="J260" s="12"/>
      <c r="K260" s="12"/>
      <c r="L260" s="12"/>
      <c r="M260" s="12"/>
      <c r="N260" s="12"/>
      <c r="O260" s="12"/>
      <c r="P260" s="12"/>
      <c r="Q260" s="12"/>
      <c r="R260" s="12"/>
      <c r="S260" s="12"/>
      <c r="T260" s="12"/>
      <c r="U260" s="12"/>
      <c r="V260" s="12"/>
      <c r="W260" s="12"/>
      <c r="X260" s="12"/>
      <c r="Y260" s="12"/>
      <c r="Z260" s="12"/>
    </row>
    <row r="261" spans="1:26" ht="16.350000000000001" customHeight="1" x14ac:dyDescent="0.2">
      <c r="A261" s="12"/>
      <c r="B261" s="12"/>
      <c r="C261" s="12"/>
      <c r="D261" s="12"/>
      <c r="E261" s="12"/>
      <c r="F261" s="7"/>
      <c r="G261" s="7"/>
      <c r="H261" s="12"/>
      <c r="I261" s="12"/>
      <c r="J261" s="12"/>
      <c r="K261" s="12"/>
      <c r="L261" s="12"/>
      <c r="M261" s="12"/>
      <c r="N261" s="12"/>
      <c r="O261" s="12"/>
      <c r="P261" s="12"/>
      <c r="Q261" s="12"/>
      <c r="R261" s="12"/>
      <c r="S261" s="12"/>
      <c r="T261" s="12"/>
      <c r="U261" s="12"/>
      <c r="V261" s="12"/>
      <c r="W261" s="12"/>
      <c r="X261" s="12"/>
      <c r="Y261" s="12"/>
      <c r="Z261" s="12"/>
    </row>
    <row r="262" spans="1:26" ht="16.350000000000001" customHeight="1" x14ac:dyDescent="0.2">
      <c r="A262" s="12"/>
      <c r="B262" s="12"/>
      <c r="C262" s="12"/>
      <c r="D262" s="12"/>
      <c r="E262" s="12"/>
      <c r="F262" s="7"/>
      <c r="G262" s="7"/>
      <c r="H262" s="12"/>
      <c r="I262" s="12"/>
      <c r="J262" s="12"/>
      <c r="K262" s="12"/>
      <c r="L262" s="12"/>
      <c r="M262" s="12"/>
      <c r="N262" s="12"/>
      <c r="O262" s="12"/>
      <c r="P262" s="12"/>
      <c r="Q262" s="12"/>
      <c r="R262" s="12"/>
      <c r="S262" s="12"/>
      <c r="T262" s="12"/>
      <c r="U262" s="12"/>
      <c r="V262" s="12"/>
      <c r="W262" s="12"/>
      <c r="X262" s="12"/>
      <c r="Y262" s="12"/>
      <c r="Z262" s="12"/>
    </row>
    <row r="263" spans="1:26" ht="16.350000000000001" customHeight="1" x14ac:dyDescent="0.2">
      <c r="A263" s="12"/>
      <c r="B263" s="12"/>
      <c r="C263" s="12"/>
      <c r="D263" s="12"/>
      <c r="E263" s="12"/>
      <c r="F263" s="7"/>
      <c r="G263" s="7"/>
      <c r="H263" s="12"/>
      <c r="I263" s="12"/>
      <c r="J263" s="12"/>
      <c r="K263" s="12"/>
      <c r="L263" s="12"/>
      <c r="M263" s="12"/>
      <c r="N263" s="12"/>
      <c r="O263" s="12"/>
      <c r="P263" s="12"/>
      <c r="Q263" s="12"/>
      <c r="R263" s="12"/>
      <c r="S263" s="12"/>
      <c r="T263" s="12"/>
      <c r="U263" s="12"/>
      <c r="V263" s="12"/>
      <c r="W263" s="12"/>
      <c r="X263" s="12"/>
      <c r="Y263" s="12"/>
      <c r="Z263" s="12"/>
    </row>
    <row r="264" spans="1:26" ht="16.350000000000001" customHeight="1" x14ac:dyDescent="0.2">
      <c r="A264" s="12"/>
      <c r="B264" s="12"/>
      <c r="C264" s="12"/>
      <c r="D264" s="12"/>
      <c r="E264" s="12"/>
      <c r="F264" s="7"/>
      <c r="G264" s="7"/>
      <c r="H264" s="12"/>
      <c r="I264" s="12"/>
      <c r="J264" s="12"/>
      <c r="K264" s="12"/>
      <c r="L264" s="12"/>
      <c r="M264" s="12"/>
      <c r="N264" s="12"/>
      <c r="O264" s="12"/>
      <c r="P264" s="12"/>
      <c r="Q264" s="12"/>
      <c r="R264" s="12"/>
      <c r="S264" s="12"/>
      <c r="T264" s="12"/>
      <c r="U264" s="12"/>
      <c r="V264" s="12"/>
      <c r="W264" s="12"/>
      <c r="X264" s="12"/>
      <c r="Y264" s="12"/>
      <c r="Z264" s="12"/>
    </row>
    <row r="265" spans="1:26" ht="16.350000000000001" customHeight="1" x14ac:dyDescent="0.2">
      <c r="A265" s="12"/>
      <c r="B265" s="12"/>
      <c r="C265" s="12"/>
      <c r="D265" s="12"/>
      <c r="E265" s="12"/>
      <c r="F265" s="7"/>
      <c r="G265" s="7"/>
      <c r="H265" s="12"/>
      <c r="I265" s="12"/>
      <c r="J265" s="12"/>
      <c r="K265" s="12"/>
      <c r="L265" s="12"/>
      <c r="M265" s="12"/>
      <c r="N265" s="12"/>
      <c r="O265" s="12"/>
      <c r="P265" s="12"/>
      <c r="Q265" s="12"/>
      <c r="R265" s="12"/>
      <c r="S265" s="12"/>
      <c r="T265" s="12"/>
      <c r="U265" s="12"/>
      <c r="V265" s="12"/>
      <c r="W265" s="12"/>
      <c r="X265" s="12"/>
      <c r="Y265" s="12"/>
      <c r="Z265" s="12"/>
    </row>
    <row r="266" spans="1:26" ht="16.350000000000001" customHeight="1" x14ac:dyDescent="0.2">
      <c r="A266" s="12"/>
      <c r="B266" s="12"/>
      <c r="C266" s="12"/>
      <c r="D266" s="12"/>
      <c r="E266" s="12"/>
      <c r="F266" s="7"/>
      <c r="G266" s="7"/>
      <c r="H266" s="12"/>
      <c r="I266" s="12"/>
      <c r="J266" s="12"/>
      <c r="K266" s="12"/>
      <c r="L266" s="12"/>
      <c r="M266" s="12"/>
      <c r="N266" s="12"/>
      <c r="O266" s="12"/>
      <c r="P266" s="12"/>
      <c r="Q266" s="12"/>
      <c r="R266" s="12"/>
      <c r="S266" s="12"/>
      <c r="T266" s="12"/>
      <c r="U266" s="12"/>
      <c r="V266" s="12"/>
      <c r="W266" s="12"/>
      <c r="X266" s="12"/>
      <c r="Y266" s="12"/>
      <c r="Z266" s="12"/>
    </row>
    <row r="267" spans="1:26" ht="16.350000000000001" customHeight="1" x14ac:dyDescent="0.2">
      <c r="A267" s="12"/>
      <c r="B267" s="12"/>
      <c r="C267" s="12"/>
      <c r="D267" s="12"/>
      <c r="E267" s="12"/>
      <c r="F267" s="7"/>
      <c r="G267" s="7"/>
      <c r="H267" s="12"/>
      <c r="I267" s="12"/>
      <c r="J267" s="12"/>
      <c r="K267" s="12"/>
      <c r="L267" s="12"/>
      <c r="M267" s="12"/>
      <c r="N267" s="12"/>
      <c r="O267" s="12"/>
      <c r="P267" s="12"/>
      <c r="Q267" s="12"/>
      <c r="R267" s="12"/>
      <c r="S267" s="12"/>
      <c r="T267" s="12"/>
      <c r="U267" s="12"/>
      <c r="V267" s="12"/>
      <c r="W267" s="12"/>
      <c r="X267" s="12"/>
      <c r="Y267" s="12"/>
      <c r="Z267" s="12"/>
    </row>
    <row r="268" spans="1:26" ht="16.350000000000001" customHeight="1" x14ac:dyDescent="0.2">
      <c r="A268" s="12"/>
      <c r="B268" s="12"/>
      <c r="C268" s="12"/>
      <c r="D268" s="12"/>
      <c r="E268" s="12"/>
      <c r="F268" s="7"/>
      <c r="G268" s="7"/>
      <c r="H268" s="12"/>
      <c r="I268" s="12"/>
      <c r="J268" s="12"/>
      <c r="K268" s="12"/>
      <c r="L268" s="12"/>
      <c r="M268" s="12"/>
      <c r="N268" s="12"/>
      <c r="O268" s="12"/>
      <c r="P268" s="12"/>
      <c r="Q268" s="12"/>
      <c r="R268" s="12"/>
      <c r="S268" s="12"/>
      <c r="T268" s="12"/>
      <c r="U268" s="12"/>
      <c r="V268" s="12"/>
      <c r="W268" s="12"/>
      <c r="X268" s="12"/>
      <c r="Y268" s="12"/>
      <c r="Z268" s="12"/>
    </row>
    <row r="269" spans="1:26" ht="16.350000000000001" customHeight="1" x14ac:dyDescent="0.2">
      <c r="A269" s="12"/>
      <c r="B269" s="12"/>
      <c r="C269" s="12"/>
      <c r="D269" s="12"/>
      <c r="E269" s="12"/>
      <c r="F269" s="7"/>
      <c r="G269" s="7"/>
      <c r="H269" s="12"/>
      <c r="I269" s="12"/>
      <c r="J269" s="12"/>
      <c r="K269" s="12"/>
      <c r="L269" s="12"/>
      <c r="M269" s="12"/>
      <c r="N269" s="12"/>
      <c r="O269" s="12"/>
      <c r="P269" s="12"/>
      <c r="Q269" s="12"/>
      <c r="R269" s="12"/>
      <c r="S269" s="12"/>
      <c r="T269" s="12"/>
      <c r="U269" s="12"/>
      <c r="V269" s="12"/>
      <c r="W269" s="12"/>
      <c r="X269" s="12"/>
      <c r="Y269" s="12"/>
      <c r="Z269" s="12"/>
    </row>
    <row r="270" spans="1:26" ht="16.350000000000001" customHeight="1" x14ac:dyDescent="0.2">
      <c r="A270" s="12"/>
      <c r="B270" s="12"/>
      <c r="C270" s="12"/>
      <c r="D270" s="12"/>
      <c r="E270" s="12"/>
      <c r="F270" s="7"/>
      <c r="G270" s="7"/>
      <c r="H270" s="12"/>
      <c r="I270" s="12"/>
      <c r="J270" s="12"/>
      <c r="K270" s="12"/>
      <c r="L270" s="12"/>
      <c r="M270" s="12"/>
      <c r="N270" s="12"/>
      <c r="O270" s="12"/>
      <c r="P270" s="12"/>
      <c r="Q270" s="12"/>
      <c r="R270" s="12"/>
      <c r="S270" s="12"/>
      <c r="T270" s="12"/>
      <c r="U270" s="12"/>
      <c r="V270" s="12"/>
      <c r="W270" s="12"/>
      <c r="X270" s="12"/>
      <c r="Y270" s="12"/>
      <c r="Z270" s="12"/>
    </row>
    <row r="271" spans="1:26" ht="16.350000000000001" customHeight="1" x14ac:dyDescent="0.2">
      <c r="A271" s="12"/>
      <c r="B271" s="12"/>
      <c r="C271" s="12"/>
      <c r="D271" s="12"/>
      <c r="E271" s="12"/>
      <c r="F271" s="7"/>
      <c r="G271" s="7"/>
      <c r="H271" s="12"/>
      <c r="I271" s="12"/>
      <c r="J271" s="12"/>
      <c r="K271" s="12"/>
      <c r="L271" s="12"/>
      <c r="M271" s="12"/>
      <c r="N271" s="12"/>
      <c r="O271" s="12"/>
      <c r="P271" s="12"/>
      <c r="Q271" s="12"/>
      <c r="R271" s="12"/>
      <c r="S271" s="12"/>
      <c r="T271" s="12"/>
      <c r="U271" s="12"/>
      <c r="V271" s="12"/>
      <c r="W271" s="12"/>
      <c r="X271" s="12"/>
      <c r="Y271" s="12"/>
      <c r="Z271" s="12"/>
    </row>
    <row r="272" spans="1:26" ht="16.350000000000001" customHeight="1" x14ac:dyDescent="0.2">
      <c r="A272" s="12"/>
      <c r="B272" s="12"/>
      <c r="C272" s="12"/>
      <c r="D272" s="12"/>
      <c r="E272" s="12"/>
      <c r="F272" s="7"/>
      <c r="G272" s="7"/>
      <c r="H272" s="12"/>
      <c r="I272" s="12"/>
      <c r="J272" s="12"/>
      <c r="K272" s="12"/>
      <c r="L272" s="12"/>
      <c r="M272" s="12"/>
      <c r="N272" s="12"/>
      <c r="O272" s="12"/>
      <c r="P272" s="12"/>
      <c r="Q272" s="12"/>
      <c r="R272" s="12"/>
      <c r="S272" s="12"/>
      <c r="T272" s="12"/>
      <c r="U272" s="12"/>
      <c r="V272" s="12"/>
      <c r="W272" s="12"/>
      <c r="X272" s="12"/>
      <c r="Y272" s="12"/>
      <c r="Z272" s="12"/>
    </row>
    <row r="273" spans="1:26" ht="16.350000000000001" customHeight="1" x14ac:dyDescent="0.2">
      <c r="A273" s="12"/>
      <c r="B273" s="12"/>
      <c r="C273" s="12"/>
      <c r="D273" s="12"/>
      <c r="E273" s="12"/>
      <c r="F273" s="7"/>
      <c r="G273" s="7"/>
      <c r="H273" s="12"/>
      <c r="I273" s="12"/>
      <c r="J273" s="12"/>
      <c r="K273" s="12"/>
      <c r="L273" s="12"/>
      <c r="M273" s="12"/>
      <c r="N273" s="12"/>
      <c r="O273" s="12"/>
      <c r="P273" s="12"/>
      <c r="Q273" s="12"/>
      <c r="R273" s="12"/>
      <c r="S273" s="12"/>
      <c r="T273" s="12"/>
      <c r="U273" s="12"/>
      <c r="V273" s="12"/>
      <c r="W273" s="12"/>
      <c r="X273" s="12"/>
      <c r="Y273" s="12"/>
      <c r="Z273" s="12"/>
    </row>
    <row r="274" spans="1:26" ht="16.350000000000001" customHeight="1" x14ac:dyDescent="0.2">
      <c r="A274" s="12"/>
      <c r="B274" s="12"/>
      <c r="C274" s="12"/>
      <c r="D274" s="12"/>
      <c r="E274" s="12"/>
      <c r="F274" s="7"/>
      <c r="G274" s="7"/>
      <c r="H274" s="12"/>
      <c r="I274" s="12"/>
      <c r="J274" s="12"/>
      <c r="K274" s="12"/>
      <c r="L274" s="12"/>
      <c r="M274" s="12"/>
      <c r="N274" s="12"/>
      <c r="O274" s="12"/>
      <c r="P274" s="12"/>
      <c r="Q274" s="12"/>
      <c r="R274" s="12"/>
      <c r="S274" s="12"/>
      <c r="T274" s="12"/>
      <c r="U274" s="12"/>
      <c r="V274" s="12"/>
      <c r="W274" s="12"/>
      <c r="X274" s="12"/>
      <c r="Y274" s="12"/>
      <c r="Z274" s="12"/>
    </row>
    <row r="275" spans="1:26" ht="16.350000000000001" customHeight="1" x14ac:dyDescent="0.2">
      <c r="A275" s="12"/>
      <c r="B275" s="12"/>
      <c r="C275" s="12"/>
      <c r="D275" s="12"/>
      <c r="E275" s="12"/>
      <c r="F275" s="7"/>
      <c r="G275" s="7"/>
      <c r="H275" s="12"/>
      <c r="I275" s="12"/>
      <c r="J275" s="12"/>
      <c r="K275" s="12"/>
      <c r="L275" s="12"/>
      <c r="M275" s="12"/>
      <c r="N275" s="12"/>
      <c r="O275" s="12"/>
      <c r="P275" s="12"/>
      <c r="Q275" s="12"/>
      <c r="R275" s="12"/>
      <c r="S275" s="12"/>
      <c r="T275" s="12"/>
      <c r="U275" s="12"/>
      <c r="V275" s="12"/>
      <c r="W275" s="12"/>
      <c r="X275" s="12"/>
      <c r="Y275" s="12"/>
      <c r="Z275" s="12"/>
    </row>
    <row r="276" spans="1:26" ht="16.350000000000001" customHeight="1" x14ac:dyDescent="0.2">
      <c r="A276" s="12"/>
      <c r="B276" s="12"/>
      <c r="C276" s="12"/>
      <c r="D276" s="12"/>
      <c r="E276" s="12"/>
      <c r="F276" s="7"/>
      <c r="G276" s="7"/>
      <c r="H276" s="12"/>
      <c r="I276" s="12"/>
      <c r="J276" s="12"/>
      <c r="K276" s="12"/>
      <c r="L276" s="12"/>
      <c r="M276" s="12"/>
      <c r="N276" s="12"/>
      <c r="O276" s="12"/>
      <c r="P276" s="12"/>
      <c r="Q276" s="12"/>
      <c r="R276" s="12"/>
      <c r="S276" s="12"/>
      <c r="T276" s="12"/>
      <c r="U276" s="12"/>
      <c r="V276" s="12"/>
      <c r="W276" s="12"/>
      <c r="X276" s="12"/>
      <c r="Y276" s="12"/>
      <c r="Z276" s="12"/>
    </row>
    <row r="277" spans="1:26" ht="16.350000000000001" customHeight="1" x14ac:dyDescent="0.2">
      <c r="A277" s="12"/>
      <c r="B277" s="12"/>
      <c r="C277" s="12"/>
      <c r="D277" s="12"/>
      <c r="E277" s="12"/>
      <c r="F277" s="7"/>
      <c r="G277" s="7"/>
      <c r="H277" s="12"/>
      <c r="I277" s="12"/>
      <c r="J277" s="12"/>
      <c r="K277" s="12"/>
      <c r="L277" s="12"/>
      <c r="M277" s="12"/>
      <c r="N277" s="12"/>
      <c r="O277" s="12"/>
      <c r="P277" s="12"/>
      <c r="Q277" s="12"/>
      <c r="R277" s="12"/>
      <c r="S277" s="12"/>
      <c r="T277" s="12"/>
      <c r="U277" s="12"/>
      <c r="V277" s="12"/>
      <c r="W277" s="12"/>
      <c r="X277" s="12"/>
      <c r="Y277" s="12"/>
      <c r="Z277" s="12"/>
    </row>
    <row r="278" spans="1:26" ht="16.350000000000001" customHeight="1" x14ac:dyDescent="0.2">
      <c r="A278" s="12"/>
      <c r="B278" s="12"/>
      <c r="C278" s="12"/>
      <c r="D278" s="12"/>
      <c r="E278" s="12"/>
      <c r="F278" s="7"/>
      <c r="G278" s="7"/>
      <c r="H278" s="12"/>
      <c r="I278" s="12"/>
      <c r="J278" s="12"/>
      <c r="K278" s="12"/>
      <c r="L278" s="12"/>
      <c r="M278" s="12"/>
      <c r="N278" s="12"/>
      <c r="O278" s="12"/>
      <c r="P278" s="12"/>
      <c r="Q278" s="12"/>
      <c r="R278" s="12"/>
      <c r="S278" s="12"/>
      <c r="T278" s="12"/>
      <c r="U278" s="12"/>
      <c r="V278" s="12"/>
      <c r="W278" s="12"/>
      <c r="X278" s="12"/>
      <c r="Y278" s="12"/>
      <c r="Z278" s="12"/>
    </row>
    <row r="279" spans="1:26" ht="16.350000000000001" customHeight="1" x14ac:dyDescent="0.2">
      <c r="A279" s="12"/>
      <c r="B279" s="12"/>
      <c r="C279" s="12"/>
      <c r="D279" s="12"/>
      <c r="E279" s="12"/>
      <c r="F279" s="7"/>
      <c r="G279" s="7"/>
      <c r="H279" s="12"/>
      <c r="I279" s="12"/>
      <c r="J279" s="12"/>
      <c r="K279" s="12"/>
      <c r="L279" s="12"/>
      <c r="M279" s="12"/>
      <c r="N279" s="12"/>
      <c r="O279" s="12"/>
      <c r="P279" s="12"/>
      <c r="Q279" s="12"/>
      <c r="R279" s="12"/>
      <c r="S279" s="12"/>
      <c r="T279" s="12"/>
      <c r="U279" s="12"/>
      <c r="V279" s="12"/>
      <c r="W279" s="12"/>
      <c r="X279" s="12"/>
      <c r="Y279" s="12"/>
      <c r="Z279" s="12"/>
    </row>
    <row r="280" spans="1:26" ht="16.350000000000001" customHeight="1" x14ac:dyDescent="0.2">
      <c r="A280" s="12"/>
      <c r="B280" s="12"/>
      <c r="C280" s="12"/>
      <c r="D280" s="12"/>
      <c r="E280" s="12"/>
      <c r="F280" s="7"/>
      <c r="G280" s="7"/>
      <c r="H280" s="12"/>
      <c r="I280" s="12"/>
      <c r="J280" s="12"/>
      <c r="K280" s="12"/>
      <c r="L280" s="12"/>
      <c r="M280" s="12"/>
      <c r="N280" s="12"/>
      <c r="O280" s="12"/>
      <c r="P280" s="12"/>
      <c r="Q280" s="12"/>
      <c r="R280" s="12"/>
      <c r="S280" s="12"/>
      <c r="T280" s="12"/>
      <c r="U280" s="12"/>
      <c r="V280" s="12"/>
      <c r="W280" s="12"/>
      <c r="X280" s="12"/>
      <c r="Y280" s="12"/>
      <c r="Z280" s="12"/>
    </row>
    <row r="281" spans="1:26" ht="16.350000000000001" customHeight="1" x14ac:dyDescent="0.2">
      <c r="A281" s="12"/>
      <c r="B281" s="12"/>
      <c r="C281" s="12"/>
      <c r="D281" s="12"/>
      <c r="E281" s="12"/>
      <c r="F281" s="7"/>
      <c r="G281" s="7"/>
      <c r="H281" s="12"/>
      <c r="I281" s="12"/>
      <c r="J281" s="12"/>
      <c r="K281" s="12"/>
      <c r="L281" s="12"/>
      <c r="M281" s="12"/>
      <c r="N281" s="12"/>
      <c r="O281" s="12"/>
      <c r="P281" s="12"/>
      <c r="Q281" s="12"/>
      <c r="R281" s="12"/>
      <c r="S281" s="12"/>
      <c r="T281" s="12"/>
      <c r="U281" s="12"/>
      <c r="V281" s="12"/>
      <c r="W281" s="12"/>
      <c r="X281" s="12"/>
      <c r="Y281" s="12"/>
      <c r="Z281" s="12"/>
    </row>
    <row r="282" spans="1:26" ht="16.350000000000001" customHeight="1" x14ac:dyDescent="0.2">
      <c r="A282" s="12"/>
      <c r="B282" s="12"/>
      <c r="C282" s="12"/>
      <c r="D282" s="12"/>
      <c r="E282" s="12"/>
      <c r="F282" s="7"/>
      <c r="G282" s="7"/>
      <c r="H282" s="12"/>
      <c r="I282" s="12"/>
      <c r="J282" s="12"/>
      <c r="K282" s="12"/>
      <c r="L282" s="12"/>
      <c r="M282" s="12"/>
      <c r="N282" s="12"/>
      <c r="O282" s="12"/>
      <c r="P282" s="12"/>
      <c r="Q282" s="12"/>
      <c r="R282" s="12"/>
      <c r="S282" s="12"/>
      <c r="T282" s="12"/>
      <c r="U282" s="12"/>
      <c r="V282" s="12"/>
      <c r="W282" s="12"/>
      <c r="X282" s="12"/>
      <c r="Y282" s="12"/>
      <c r="Z282" s="12"/>
    </row>
    <row r="283" spans="1:26" ht="16.350000000000001" customHeight="1" x14ac:dyDescent="0.2">
      <c r="A283" s="12"/>
      <c r="B283" s="12"/>
      <c r="C283" s="12"/>
      <c r="D283" s="12"/>
      <c r="E283" s="12"/>
      <c r="F283" s="7"/>
      <c r="G283" s="7"/>
      <c r="H283" s="12"/>
      <c r="I283" s="12"/>
      <c r="J283" s="12"/>
      <c r="K283" s="12"/>
      <c r="L283" s="12"/>
      <c r="M283" s="12"/>
      <c r="N283" s="12"/>
      <c r="O283" s="12"/>
      <c r="P283" s="12"/>
      <c r="Q283" s="12"/>
      <c r="R283" s="12"/>
      <c r="S283" s="12"/>
      <c r="T283" s="12"/>
      <c r="U283" s="12"/>
      <c r="V283" s="12"/>
      <c r="W283" s="12"/>
      <c r="X283" s="12"/>
      <c r="Y283" s="12"/>
      <c r="Z283" s="12"/>
    </row>
    <row r="284" spans="1:26" ht="16.350000000000001" customHeight="1" x14ac:dyDescent="0.2">
      <c r="A284" s="12"/>
      <c r="B284" s="12"/>
      <c r="C284" s="12"/>
      <c r="D284" s="12"/>
      <c r="E284" s="12"/>
      <c r="F284" s="7"/>
      <c r="G284" s="7"/>
      <c r="H284" s="12"/>
      <c r="I284" s="12"/>
      <c r="J284" s="12"/>
      <c r="K284" s="12"/>
      <c r="L284" s="12"/>
      <c r="M284" s="12"/>
      <c r="N284" s="12"/>
      <c r="O284" s="12"/>
      <c r="P284" s="12"/>
      <c r="Q284" s="12"/>
      <c r="R284" s="12"/>
      <c r="S284" s="12"/>
      <c r="T284" s="12"/>
      <c r="U284" s="12"/>
      <c r="V284" s="12"/>
      <c r="W284" s="12"/>
      <c r="X284" s="12"/>
      <c r="Y284" s="12"/>
      <c r="Z284" s="12"/>
    </row>
    <row r="285" spans="1:26" ht="16.350000000000001" customHeight="1" x14ac:dyDescent="0.2">
      <c r="A285" s="12"/>
      <c r="B285" s="12"/>
      <c r="C285" s="12"/>
      <c r="D285" s="12"/>
      <c r="E285" s="12"/>
      <c r="F285" s="7"/>
      <c r="G285" s="7"/>
      <c r="H285" s="12"/>
      <c r="I285" s="12"/>
      <c r="J285" s="12"/>
      <c r="K285" s="12"/>
      <c r="L285" s="12"/>
      <c r="M285" s="12"/>
      <c r="N285" s="12"/>
      <c r="O285" s="12"/>
      <c r="P285" s="12"/>
      <c r="Q285" s="12"/>
      <c r="R285" s="12"/>
      <c r="S285" s="12"/>
      <c r="T285" s="12"/>
      <c r="U285" s="12"/>
      <c r="V285" s="12"/>
      <c r="W285" s="12"/>
      <c r="X285" s="12"/>
      <c r="Y285" s="12"/>
      <c r="Z285" s="12"/>
    </row>
    <row r="286" spans="1:26" ht="16.350000000000001" customHeight="1" x14ac:dyDescent="0.2">
      <c r="A286" s="12"/>
      <c r="B286" s="12"/>
      <c r="C286" s="12"/>
      <c r="D286" s="12"/>
      <c r="E286" s="12"/>
      <c r="F286" s="7"/>
      <c r="G286" s="7"/>
      <c r="H286" s="12"/>
      <c r="I286" s="12"/>
      <c r="J286" s="12"/>
      <c r="K286" s="12"/>
      <c r="L286" s="12"/>
      <c r="M286" s="12"/>
      <c r="N286" s="12"/>
      <c r="O286" s="12"/>
      <c r="P286" s="12"/>
      <c r="Q286" s="12"/>
      <c r="R286" s="12"/>
      <c r="S286" s="12"/>
      <c r="T286" s="12"/>
      <c r="U286" s="12"/>
      <c r="V286" s="12"/>
      <c r="W286" s="12"/>
      <c r="X286" s="12"/>
      <c r="Y286" s="12"/>
      <c r="Z286" s="12"/>
    </row>
    <row r="287" spans="1:26" ht="16.350000000000001" customHeight="1" x14ac:dyDescent="0.2">
      <c r="A287" s="12"/>
      <c r="B287" s="12"/>
      <c r="C287" s="12"/>
      <c r="D287" s="12"/>
      <c r="E287" s="12"/>
      <c r="F287" s="7"/>
      <c r="G287" s="7"/>
      <c r="H287" s="12"/>
      <c r="I287" s="12"/>
      <c r="J287" s="12"/>
      <c r="K287" s="12"/>
      <c r="L287" s="12"/>
      <c r="M287" s="12"/>
      <c r="N287" s="12"/>
      <c r="O287" s="12"/>
      <c r="P287" s="12"/>
      <c r="Q287" s="12"/>
      <c r="R287" s="12"/>
      <c r="S287" s="12"/>
      <c r="T287" s="12"/>
      <c r="U287" s="12"/>
      <c r="V287" s="12"/>
      <c r="W287" s="12"/>
      <c r="X287" s="12"/>
      <c r="Y287" s="12"/>
      <c r="Z287" s="12"/>
    </row>
    <row r="288" spans="1:26" ht="16.350000000000001" customHeight="1" x14ac:dyDescent="0.2">
      <c r="A288" s="12"/>
      <c r="B288" s="12"/>
      <c r="C288" s="12"/>
      <c r="D288" s="12"/>
      <c r="E288" s="12"/>
      <c r="F288" s="7"/>
      <c r="G288" s="7"/>
      <c r="H288" s="12"/>
      <c r="I288" s="12"/>
      <c r="J288" s="12"/>
      <c r="K288" s="12"/>
      <c r="L288" s="12"/>
      <c r="M288" s="12"/>
      <c r="N288" s="12"/>
      <c r="O288" s="12"/>
      <c r="P288" s="12"/>
      <c r="Q288" s="12"/>
      <c r="R288" s="12"/>
      <c r="S288" s="12"/>
      <c r="T288" s="12"/>
      <c r="U288" s="12"/>
      <c r="V288" s="12"/>
      <c r="W288" s="12"/>
      <c r="X288" s="12"/>
      <c r="Y288" s="12"/>
      <c r="Z288" s="12"/>
    </row>
    <row r="289" spans="1:26" ht="16.350000000000001" customHeight="1" x14ac:dyDescent="0.2">
      <c r="A289" s="12"/>
      <c r="B289" s="12"/>
      <c r="C289" s="12"/>
      <c r="D289" s="12"/>
      <c r="E289" s="12"/>
      <c r="F289" s="7"/>
      <c r="G289" s="7"/>
      <c r="H289" s="12"/>
      <c r="I289" s="12"/>
      <c r="J289" s="12"/>
      <c r="K289" s="12"/>
      <c r="L289" s="12"/>
      <c r="M289" s="12"/>
      <c r="N289" s="12"/>
      <c r="O289" s="12"/>
      <c r="P289" s="12"/>
      <c r="Q289" s="12"/>
      <c r="R289" s="12"/>
      <c r="S289" s="12"/>
      <c r="T289" s="12"/>
      <c r="U289" s="12"/>
      <c r="V289" s="12"/>
      <c r="W289" s="12"/>
      <c r="X289" s="12"/>
      <c r="Y289" s="12"/>
      <c r="Z289" s="12"/>
    </row>
    <row r="290" spans="1:26" ht="16.350000000000001" customHeight="1" x14ac:dyDescent="0.2">
      <c r="A290" s="12"/>
      <c r="B290" s="12"/>
      <c r="C290" s="12"/>
      <c r="D290" s="12"/>
      <c r="E290" s="12"/>
      <c r="F290" s="7"/>
      <c r="G290" s="7"/>
      <c r="H290" s="12"/>
      <c r="I290" s="12"/>
      <c r="J290" s="12"/>
      <c r="K290" s="12"/>
      <c r="L290" s="12"/>
      <c r="M290" s="12"/>
      <c r="N290" s="12"/>
      <c r="O290" s="12"/>
      <c r="P290" s="12"/>
      <c r="Q290" s="12"/>
      <c r="R290" s="12"/>
      <c r="S290" s="12"/>
      <c r="T290" s="12"/>
      <c r="U290" s="12"/>
      <c r="V290" s="12"/>
      <c r="W290" s="12"/>
      <c r="X290" s="12"/>
      <c r="Y290" s="12"/>
      <c r="Z290" s="12"/>
    </row>
    <row r="291" spans="1:26" ht="16.350000000000001" customHeight="1" x14ac:dyDescent="0.2">
      <c r="A291" s="12"/>
      <c r="B291" s="12"/>
      <c r="C291" s="12"/>
      <c r="D291" s="12"/>
      <c r="E291" s="12"/>
      <c r="F291" s="7"/>
      <c r="G291" s="7"/>
      <c r="H291" s="12"/>
      <c r="I291" s="12"/>
      <c r="J291" s="12"/>
      <c r="K291" s="12"/>
      <c r="L291" s="12"/>
      <c r="M291" s="12"/>
      <c r="N291" s="12"/>
      <c r="O291" s="12"/>
      <c r="P291" s="12"/>
      <c r="Q291" s="12"/>
      <c r="R291" s="12"/>
      <c r="S291" s="12"/>
      <c r="T291" s="12"/>
      <c r="U291" s="12"/>
      <c r="V291" s="12"/>
      <c r="W291" s="12"/>
      <c r="X291" s="12"/>
      <c r="Y291" s="12"/>
      <c r="Z291" s="12"/>
    </row>
    <row r="292" spans="1:26" ht="16.350000000000001" customHeight="1" x14ac:dyDescent="0.2">
      <c r="A292" s="12"/>
      <c r="B292" s="12"/>
      <c r="C292" s="12"/>
      <c r="D292" s="12"/>
      <c r="E292" s="12"/>
      <c r="F292" s="7"/>
      <c r="G292" s="7"/>
      <c r="H292" s="12"/>
      <c r="I292" s="12"/>
      <c r="J292" s="12"/>
      <c r="K292" s="12"/>
      <c r="L292" s="12"/>
      <c r="M292" s="12"/>
      <c r="N292" s="12"/>
      <c r="O292" s="12"/>
      <c r="P292" s="12"/>
      <c r="Q292" s="12"/>
      <c r="R292" s="12"/>
      <c r="S292" s="12"/>
      <c r="T292" s="12"/>
      <c r="U292" s="12"/>
      <c r="V292" s="12"/>
      <c r="W292" s="12"/>
      <c r="X292" s="12"/>
      <c r="Y292" s="12"/>
      <c r="Z292" s="12"/>
    </row>
    <row r="293" spans="1:26" ht="16.350000000000001" customHeight="1" x14ac:dyDescent="0.2">
      <c r="A293" s="12"/>
      <c r="B293" s="12"/>
      <c r="C293" s="12"/>
      <c r="D293" s="12"/>
      <c r="E293" s="12"/>
      <c r="F293" s="7"/>
      <c r="G293" s="7"/>
      <c r="H293" s="12"/>
      <c r="I293" s="12"/>
      <c r="J293" s="12"/>
      <c r="K293" s="12"/>
      <c r="L293" s="12"/>
      <c r="M293" s="12"/>
      <c r="N293" s="12"/>
      <c r="O293" s="12"/>
      <c r="P293" s="12"/>
      <c r="Q293" s="12"/>
      <c r="R293" s="12"/>
      <c r="S293" s="12"/>
      <c r="T293" s="12"/>
      <c r="U293" s="12"/>
      <c r="V293" s="12"/>
      <c r="W293" s="12"/>
      <c r="X293" s="12"/>
      <c r="Y293" s="12"/>
      <c r="Z293" s="12"/>
    </row>
    <row r="294" spans="1:26" ht="16.350000000000001" customHeight="1" x14ac:dyDescent="0.2">
      <c r="A294" s="12"/>
      <c r="B294" s="12"/>
      <c r="C294" s="12"/>
      <c r="D294" s="12"/>
      <c r="E294" s="12"/>
      <c r="F294" s="7"/>
      <c r="G294" s="7"/>
      <c r="H294" s="12"/>
      <c r="I294" s="12"/>
      <c r="J294" s="12"/>
      <c r="K294" s="12"/>
      <c r="L294" s="12"/>
      <c r="M294" s="12"/>
      <c r="N294" s="12"/>
      <c r="O294" s="12"/>
      <c r="P294" s="12"/>
      <c r="Q294" s="12"/>
      <c r="R294" s="12"/>
      <c r="S294" s="12"/>
      <c r="T294" s="12"/>
      <c r="U294" s="12"/>
      <c r="V294" s="12"/>
      <c r="W294" s="12"/>
      <c r="X294" s="12"/>
      <c r="Y294" s="12"/>
      <c r="Z294" s="12"/>
    </row>
    <row r="295" spans="1:26" ht="16.350000000000001" customHeight="1" x14ac:dyDescent="0.2">
      <c r="A295" s="12"/>
      <c r="B295" s="12"/>
      <c r="C295" s="12"/>
      <c r="D295" s="12"/>
      <c r="E295" s="12"/>
      <c r="F295" s="7"/>
      <c r="G295" s="7"/>
      <c r="H295" s="12"/>
      <c r="I295" s="12"/>
      <c r="J295" s="12"/>
      <c r="K295" s="12"/>
      <c r="L295" s="12"/>
      <c r="M295" s="12"/>
      <c r="N295" s="12"/>
      <c r="O295" s="12"/>
      <c r="P295" s="12"/>
      <c r="Q295" s="12"/>
      <c r="R295" s="12"/>
      <c r="S295" s="12"/>
      <c r="T295" s="12"/>
      <c r="U295" s="12"/>
      <c r="V295" s="12"/>
      <c r="W295" s="12"/>
      <c r="X295" s="12"/>
      <c r="Y295" s="12"/>
      <c r="Z295" s="12"/>
    </row>
    <row r="296" spans="1:26" ht="16.350000000000001" customHeight="1" x14ac:dyDescent="0.2">
      <c r="A296" s="12"/>
      <c r="B296" s="12"/>
      <c r="C296" s="12"/>
      <c r="D296" s="12"/>
      <c r="E296" s="12"/>
      <c r="F296" s="7"/>
      <c r="G296" s="7"/>
      <c r="H296" s="12"/>
      <c r="I296" s="12"/>
      <c r="J296" s="12"/>
      <c r="K296" s="12"/>
      <c r="L296" s="12"/>
      <c r="M296" s="12"/>
      <c r="N296" s="12"/>
      <c r="O296" s="12"/>
      <c r="P296" s="12"/>
      <c r="Q296" s="12"/>
      <c r="R296" s="12"/>
      <c r="S296" s="12"/>
      <c r="T296" s="12"/>
      <c r="U296" s="12"/>
      <c r="V296" s="12"/>
      <c r="W296" s="12"/>
      <c r="X296" s="12"/>
      <c r="Y296" s="12"/>
      <c r="Z296" s="12"/>
    </row>
    <row r="297" spans="1:26" ht="16.350000000000001" customHeight="1" x14ac:dyDescent="0.2">
      <c r="A297" s="12"/>
      <c r="B297" s="12"/>
      <c r="C297" s="12"/>
      <c r="D297" s="12"/>
      <c r="E297" s="12"/>
      <c r="F297" s="7"/>
      <c r="G297" s="7"/>
      <c r="H297" s="12"/>
      <c r="I297" s="12"/>
      <c r="J297" s="12"/>
      <c r="K297" s="12"/>
      <c r="L297" s="12"/>
      <c r="M297" s="12"/>
      <c r="N297" s="12"/>
      <c r="O297" s="12"/>
      <c r="P297" s="12"/>
      <c r="Q297" s="12"/>
      <c r="R297" s="12"/>
      <c r="S297" s="12"/>
      <c r="T297" s="12"/>
      <c r="U297" s="12"/>
      <c r="V297" s="12"/>
      <c r="W297" s="12"/>
      <c r="X297" s="12"/>
      <c r="Y297" s="12"/>
      <c r="Z297" s="12"/>
    </row>
    <row r="298" spans="1:26" ht="16.350000000000001" customHeight="1" x14ac:dyDescent="0.2">
      <c r="A298" s="12"/>
      <c r="B298" s="12"/>
      <c r="C298" s="12"/>
      <c r="D298" s="12"/>
      <c r="E298" s="12"/>
      <c r="F298" s="7"/>
      <c r="G298" s="7"/>
      <c r="H298" s="12"/>
      <c r="I298" s="12"/>
      <c r="J298" s="12"/>
      <c r="K298" s="12"/>
      <c r="L298" s="12"/>
      <c r="M298" s="12"/>
      <c r="N298" s="12"/>
      <c r="O298" s="12"/>
      <c r="P298" s="12"/>
      <c r="Q298" s="12"/>
      <c r="R298" s="12"/>
      <c r="S298" s="12"/>
      <c r="T298" s="12"/>
      <c r="U298" s="12"/>
      <c r="V298" s="12"/>
      <c r="W298" s="12"/>
      <c r="X298" s="12"/>
      <c r="Y298" s="12"/>
      <c r="Z298" s="12"/>
    </row>
    <row r="299" spans="1:26" ht="16.350000000000001" customHeight="1" x14ac:dyDescent="0.2">
      <c r="A299" s="12"/>
      <c r="B299" s="12"/>
      <c r="C299" s="12"/>
      <c r="D299" s="12"/>
      <c r="E299" s="12"/>
      <c r="F299" s="7"/>
      <c r="G299" s="7"/>
      <c r="H299" s="12"/>
      <c r="I299" s="12"/>
      <c r="J299" s="12"/>
      <c r="K299" s="12"/>
      <c r="L299" s="12"/>
      <c r="M299" s="12"/>
      <c r="N299" s="12"/>
      <c r="O299" s="12"/>
      <c r="P299" s="12"/>
      <c r="Q299" s="12"/>
      <c r="R299" s="12"/>
      <c r="S299" s="12"/>
      <c r="T299" s="12"/>
      <c r="U299" s="12"/>
      <c r="V299" s="12"/>
      <c r="W299" s="12"/>
      <c r="X299" s="12"/>
      <c r="Y299" s="12"/>
      <c r="Z299" s="12"/>
    </row>
    <row r="300" spans="1:26" ht="16.350000000000001" customHeight="1" x14ac:dyDescent="0.2">
      <c r="A300" s="12"/>
      <c r="B300" s="12"/>
      <c r="C300" s="12"/>
      <c r="D300" s="12"/>
      <c r="E300" s="12"/>
      <c r="F300" s="7"/>
      <c r="G300" s="7"/>
      <c r="H300" s="12"/>
      <c r="I300" s="12"/>
      <c r="J300" s="12"/>
      <c r="K300" s="12"/>
      <c r="L300" s="12"/>
      <c r="M300" s="12"/>
      <c r="N300" s="12"/>
      <c r="O300" s="12"/>
      <c r="P300" s="12"/>
      <c r="Q300" s="12"/>
      <c r="R300" s="12"/>
      <c r="S300" s="12"/>
      <c r="T300" s="12"/>
      <c r="U300" s="12"/>
      <c r="V300" s="12"/>
      <c r="W300" s="12"/>
      <c r="X300" s="12"/>
      <c r="Y300" s="12"/>
      <c r="Z300" s="12"/>
    </row>
    <row r="301" spans="1:26" ht="16.350000000000001" customHeight="1" x14ac:dyDescent="0.2">
      <c r="A301" s="12"/>
      <c r="B301" s="12"/>
      <c r="C301" s="12"/>
      <c r="D301" s="12"/>
      <c r="E301" s="12"/>
      <c r="F301" s="7"/>
      <c r="G301" s="7"/>
      <c r="H301" s="12"/>
      <c r="I301" s="12"/>
      <c r="J301" s="12"/>
      <c r="K301" s="12"/>
      <c r="L301" s="12"/>
      <c r="M301" s="12"/>
      <c r="N301" s="12"/>
      <c r="O301" s="12"/>
      <c r="P301" s="12"/>
      <c r="Q301" s="12"/>
      <c r="R301" s="12"/>
      <c r="S301" s="12"/>
      <c r="T301" s="12"/>
      <c r="U301" s="12"/>
      <c r="V301" s="12"/>
      <c r="W301" s="12"/>
      <c r="X301" s="12"/>
      <c r="Y301" s="12"/>
      <c r="Z301" s="12"/>
    </row>
    <row r="302" spans="1:26" ht="16.350000000000001" customHeight="1" x14ac:dyDescent="0.2">
      <c r="A302" s="12"/>
      <c r="B302" s="12"/>
      <c r="C302" s="12"/>
      <c r="D302" s="12"/>
      <c r="E302" s="12"/>
      <c r="F302" s="7"/>
      <c r="G302" s="7"/>
      <c r="H302" s="12"/>
      <c r="I302" s="12"/>
      <c r="J302" s="12"/>
      <c r="K302" s="12"/>
      <c r="L302" s="12"/>
      <c r="M302" s="12"/>
      <c r="N302" s="12"/>
      <c r="O302" s="12"/>
      <c r="P302" s="12"/>
      <c r="Q302" s="12"/>
      <c r="R302" s="12"/>
      <c r="S302" s="12"/>
      <c r="T302" s="12"/>
      <c r="U302" s="12"/>
      <c r="V302" s="12"/>
      <c r="W302" s="12"/>
      <c r="X302" s="12"/>
      <c r="Y302" s="12"/>
      <c r="Z302" s="12"/>
    </row>
    <row r="303" spans="1:26" ht="16.350000000000001" customHeight="1" x14ac:dyDescent="0.2">
      <c r="A303" s="12"/>
      <c r="B303" s="12"/>
      <c r="C303" s="12"/>
      <c r="D303" s="12"/>
      <c r="E303" s="12"/>
      <c r="F303" s="7"/>
      <c r="G303" s="7"/>
      <c r="H303" s="12"/>
      <c r="I303" s="12"/>
      <c r="J303" s="12"/>
      <c r="K303" s="12"/>
      <c r="L303" s="12"/>
      <c r="M303" s="12"/>
      <c r="N303" s="12"/>
      <c r="O303" s="12"/>
      <c r="P303" s="12"/>
      <c r="Q303" s="12"/>
      <c r="R303" s="12"/>
      <c r="S303" s="12"/>
      <c r="T303" s="12"/>
      <c r="U303" s="12"/>
      <c r="V303" s="12"/>
      <c r="W303" s="12"/>
      <c r="X303" s="12"/>
      <c r="Y303" s="12"/>
      <c r="Z303" s="12"/>
    </row>
    <row r="304" spans="1:26" ht="16.350000000000001" customHeight="1" x14ac:dyDescent="0.2">
      <c r="A304" s="12"/>
      <c r="B304" s="12"/>
      <c r="C304" s="12"/>
      <c r="D304" s="12"/>
      <c r="E304" s="12"/>
      <c r="F304" s="7"/>
      <c r="G304" s="7"/>
      <c r="H304" s="12"/>
      <c r="I304" s="12"/>
      <c r="J304" s="12"/>
      <c r="K304" s="12"/>
      <c r="L304" s="12"/>
      <c r="M304" s="12"/>
      <c r="N304" s="12"/>
      <c r="O304" s="12"/>
      <c r="P304" s="12"/>
      <c r="Q304" s="12"/>
      <c r="R304" s="12"/>
      <c r="S304" s="12"/>
      <c r="T304" s="12"/>
      <c r="U304" s="12"/>
      <c r="V304" s="12"/>
      <c r="W304" s="12"/>
      <c r="X304" s="12"/>
      <c r="Y304" s="12"/>
      <c r="Z304" s="12"/>
    </row>
    <row r="305" spans="1:26" ht="16.350000000000001" customHeight="1" x14ac:dyDescent="0.2">
      <c r="A305" s="12"/>
      <c r="B305" s="12"/>
      <c r="C305" s="12"/>
      <c r="D305" s="12"/>
      <c r="E305" s="12"/>
      <c r="F305" s="7"/>
      <c r="G305" s="7"/>
      <c r="H305" s="12"/>
      <c r="I305" s="12"/>
      <c r="J305" s="12"/>
      <c r="K305" s="12"/>
      <c r="L305" s="12"/>
      <c r="M305" s="12"/>
      <c r="N305" s="12"/>
      <c r="O305" s="12"/>
      <c r="P305" s="12"/>
      <c r="Q305" s="12"/>
      <c r="R305" s="12"/>
      <c r="S305" s="12"/>
      <c r="T305" s="12"/>
      <c r="U305" s="12"/>
      <c r="V305" s="12"/>
      <c r="W305" s="12"/>
      <c r="X305" s="12"/>
      <c r="Y305" s="12"/>
      <c r="Z305" s="12"/>
    </row>
    <row r="306" spans="1:26" ht="16.350000000000001" customHeight="1" x14ac:dyDescent="0.2">
      <c r="A306" s="12"/>
      <c r="B306" s="12"/>
      <c r="C306" s="12"/>
      <c r="D306" s="12"/>
      <c r="E306" s="12"/>
      <c r="F306" s="7"/>
      <c r="G306" s="7"/>
      <c r="H306" s="12"/>
      <c r="I306" s="12"/>
      <c r="J306" s="12"/>
      <c r="K306" s="12"/>
      <c r="L306" s="12"/>
      <c r="M306" s="12"/>
      <c r="N306" s="12"/>
      <c r="O306" s="12"/>
      <c r="P306" s="12"/>
      <c r="Q306" s="12"/>
      <c r="R306" s="12"/>
      <c r="S306" s="12"/>
      <c r="T306" s="12"/>
      <c r="U306" s="12"/>
      <c r="V306" s="12"/>
      <c r="W306" s="12"/>
      <c r="X306" s="12"/>
      <c r="Y306" s="12"/>
      <c r="Z306" s="12"/>
    </row>
    <row r="307" spans="1:26" ht="16.350000000000001" customHeight="1" x14ac:dyDescent="0.2">
      <c r="A307" s="12"/>
      <c r="B307" s="12"/>
      <c r="C307" s="12"/>
      <c r="D307" s="12"/>
      <c r="E307" s="12"/>
      <c r="F307" s="7"/>
      <c r="G307" s="7"/>
      <c r="H307" s="12"/>
      <c r="I307" s="12"/>
      <c r="J307" s="12"/>
      <c r="K307" s="12"/>
      <c r="L307" s="12"/>
      <c r="M307" s="12"/>
      <c r="N307" s="12"/>
      <c r="O307" s="12"/>
      <c r="P307" s="12"/>
      <c r="Q307" s="12"/>
      <c r="R307" s="12"/>
      <c r="S307" s="12"/>
      <c r="T307" s="12"/>
      <c r="U307" s="12"/>
      <c r="V307" s="12"/>
      <c r="W307" s="12"/>
      <c r="X307" s="12"/>
      <c r="Y307" s="12"/>
      <c r="Z307" s="12"/>
    </row>
    <row r="308" spans="1:26" ht="16.350000000000001" customHeight="1" x14ac:dyDescent="0.2">
      <c r="A308" s="12"/>
      <c r="B308" s="12"/>
      <c r="C308" s="12"/>
      <c r="D308" s="12"/>
      <c r="E308" s="12"/>
      <c r="F308" s="7"/>
      <c r="G308" s="7"/>
      <c r="H308" s="12"/>
      <c r="I308" s="12"/>
      <c r="J308" s="12"/>
      <c r="K308" s="12"/>
      <c r="L308" s="12"/>
      <c r="M308" s="12"/>
      <c r="N308" s="12"/>
      <c r="O308" s="12"/>
      <c r="P308" s="12"/>
      <c r="Q308" s="12"/>
      <c r="R308" s="12"/>
      <c r="S308" s="12"/>
      <c r="T308" s="12"/>
      <c r="U308" s="12"/>
      <c r="V308" s="12"/>
      <c r="W308" s="12"/>
      <c r="X308" s="12"/>
      <c r="Y308" s="12"/>
      <c r="Z308" s="12"/>
    </row>
    <row r="309" spans="1:26" ht="16.350000000000001" customHeight="1" x14ac:dyDescent="0.2">
      <c r="A309" s="12"/>
      <c r="B309" s="12"/>
      <c r="C309" s="12"/>
      <c r="D309" s="12"/>
      <c r="E309" s="12"/>
      <c r="F309" s="7"/>
      <c r="G309" s="7"/>
      <c r="H309" s="12"/>
      <c r="I309" s="12"/>
      <c r="J309" s="12"/>
      <c r="K309" s="12"/>
      <c r="L309" s="12"/>
      <c r="M309" s="12"/>
      <c r="N309" s="12"/>
      <c r="O309" s="12"/>
      <c r="P309" s="12"/>
      <c r="Q309" s="12"/>
      <c r="R309" s="12"/>
      <c r="S309" s="12"/>
      <c r="T309" s="12"/>
      <c r="U309" s="12"/>
      <c r="V309" s="12"/>
      <c r="W309" s="12"/>
      <c r="X309" s="12"/>
      <c r="Y309" s="12"/>
      <c r="Z309" s="12"/>
    </row>
    <row r="310" spans="1:26" ht="16.350000000000001" customHeight="1" x14ac:dyDescent="0.2">
      <c r="A310" s="12"/>
      <c r="B310" s="12"/>
      <c r="C310" s="12"/>
      <c r="D310" s="12"/>
      <c r="E310" s="12"/>
      <c r="F310" s="7"/>
      <c r="G310" s="7"/>
      <c r="H310" s="12"/>
      <c r="I310" s="12"/>
      <c r="J310" s="12"/>
      <c r="K310" s="12"/>
      <c r="L310" s="12"/>
      <c r="M310" s="12"/>
      <c r="N310" s="12"/>
      <c r="O310" s="12"/>
      <c r="P310" s="12"/>
      <c r="Q310" s="12"/>
      <c r="R310" s="12"/>
      <c r="S310" s="12"/>
      <c r="T310" s="12"/>
      <c r="U310" s="12"/>
      <c r="V310" s="12"/>
      <c r="W310" s="12"/>
      <c r="X310" s="12"/>
      <c r="Y310" s="12"/>
      <c r="Z310" s="12"/>
    </row>
    <row r="311" spans="1:26" ht="16.350000000000001" customHeight="1" x14ac:dyDescent="0.2">
      <c r="A311" s="12"/>
      <c r="B311" s="12"/>
      <c r="C311" s="12"/>
      <c r="D311" s="12"/>
      <c r="E311" s="12"/>
      <c r="F311" s="7"/>
      <c r="G311" s="7"/>
      <c r="H311" s="12"/>
      <c r="I311" s="12"/>
      <c r="J311" s="12"/>
      <c r="K311" s="12"/>
      <c r="L311" s="12"/>
      <c r="M311" s="12"/>
      <c r="N311" s="12"/>
      <c r="O311" s="12"/>
      <c r="P311" s="12"/>
      <c r="Q311" s="12"/>
      <c r="R311" s="12"/>
      <c r="S311" s="12"/>
      <c r="T311" s="12"/>
      <c r="U311" s="12"/>
      <c r="V311" s="12"/>
      <c r="W311" s="12"/>
      <c r="X311" s="12"/>
      <c r="Y311" s="12"/>
      <c r="Z311" s="12"/>
    </row>
    <row r="312" spans="1:26" ht="16.350000000000001" customHeight="1" x14ac:dyDescent="0.2">
      <c r="A312" s="12"/>
      <c r="B312" s="12"/>
      <c r="C312" s="12"/>
      <c r="D312" s="12"/>
      <c r="E312" s="12"/>
      <c r="F312" s="7"/>
      <c r="G312" s="7"/>
      <c r="H312" s="12"/>
      <c r="I312" s="12"/>
      <c r="J312" s="12"/>
      <c r="K312" s="12"/>
      <c r="L312" s="12"/>
      <c r="M312" s="12"/>
      <c r="N312" s="12"/>
      <c r="O312" s="12"/>
      <c r="P312" s="12"/>
      <c r="Q312" s="12"/>
      <c r="R312" s="12"/>
      <c r="S312" s="12"/>
      <c r="T312" s="12"/>
      <c r="U312" s="12"/>
      <c r="V312" s="12"/>
      <c r="W312" s="12"/>
      <c r="X312" s="12"/>
      <c r="Y312" s="12"/>
      <c r="Z312" s="12"/>
    </row>
    <row r="313" spans="1:26" ht="16.350000000000001" customHeight="1" x14ac:dyDescent="0.2">
      <c r="A313" s="12"/>
      <c r="B313" s="12"/>
      <c r="C313" s="12"/>
      <c r="D313" s="12"/>
      <c r="E313" s="12"/>
      <c r="F313" s="7"/>
      <c r="G313" s="7"/>
      <c r="H313" s="12"/>
      <c r="I313" s="12"/>
      <c r="J313" s="12"/>
      <c r="K313" s="12"/>
      <c r="L313" s="12"/>
      <c r="M313" s="12"/>
      <c r="N313" s="12"/>
      <c r="O313" s="12"/>
      <c r="P313" s="12"/>
      <c r="Q313" s="12"/>
      <c r="R313" s="12"/>
      <c r="S313" s="12"/>
      <c r="T313" s="12"/>
      <c r="U313" s="12"/>
      <c r="V313" s="12"/>
      <c r="W313" s="12"/>
      <c r="X313" s="12"/>
      <c r="Y313" s="12"/>
      <c r="Z313" s="12"/>
    </row>
    <row r="314" spans="1:26" ht="16.350000000000001" customHeight="1" x14ac:dyDescent="0.2">
      <c r="A314" s="12"/>
      <c r="B314" s="12"/>
      <c r="C314" s="12"/>
      <c r="D314" s="12"/>
      <c r="E314" s="12"/>
      <c r="F314" s="7"/>
      <c r="G314" s="7"/>
      <c r="H314" s="12"/>
      <c r="I314" s="12"/>
      <c r="J314" s="12"/>
      <c r="K314" s="12"/>
      <c r="L314" s="12"/>
      <c r="M314" s="12"/>
      <c r="N314" s="12"/>
      <c r="O314" s="12"/>
      <c r="P314" s="12"/>
      <c r="Q314" s="12"/>
      <c r="R314" s="12"/>
      <c r="S314" s="12"/>
      <c r="T314" s="12"/>
      <c r="U314" s="12"/>
      <c r="V314" s="12"/>
      <c r="W314" s="12"/>
      <c r="X314" s="12"/>
      <c r="Y314" s="12"/>
      <c r="Z314" s="12"/>
    </row>
    <row r="315" spans="1:26" ht="16.350000000000001" customHeight="1" x14ac:dyDescent="0.2">
      <c r="A315" s="12"/>
      <c r="B315" s="12"/>
      <c r="C315" s="12"/>
      <c r="D315" s="12"/>
      <c r="E315" s="12"/>
      <c r="F315" s="7"/>
      <c r="G315" s="7"/>
      <c r="H315" s="12"/>
      <c r="I315" s="12"/>
      <c r="J315" s="12"/>
      <c r="K315" s="12"/>
      <c r="L315" s="12"/>
      <c r="M315" s="12"/>
      <c r="N315" s="12"/>
      <c r="O315" s="12"/>
      <c r="P315" s="12"/>
      <c r="Q315" s="12"/>
      <c r="R315" s="12"/>
      <c r="S315" s="12"/>
      <c r="T315" s="12"/>
      <c r="U315" s="12"/>
      <c r="V315" s="12"/>
      <c r="W315" s="12"/>
      <c r="X315" s="12"/>
      <c r="Y315" s="12"/>
      <c r="Z315" s="12"/>
    </row>
    <row r="316" spans="1:26" ht="16.350000000000001" customHeight="1" x14ac:dyDescent="0.2">
      <c r="A316" s="12"/>
      <c r="B316" s="12"/>
      <c r="C316" s="12"/>
      <c r="D316" s="12"/>
      <c r="E316" s="12"/>
      <c r="F316" s="7"/>
      <c r="G316" s="7"/>
      <c r="H316" s="12"/>
      <c r="I316" s="12"/>
      <c r="J316" s="12"/>
      <c r="K316" s="12"/>
      <c r="L316" s="12"/>
      <c r="M316" s="12"/>
      <c r="N316" s="12"/>
      <c r="O316" s="12"/>
      <c r="P316" s="12"/>
      <c r="Q316" s="12"/>
      <c r="R316" s="12"/>
      <c r="S316" s="12"/>
      <c r="T316" s="12"/>
      <c r="U316" s="12"/>
      <c r="V316" s="12"/>
      <c r="W316" s="12"/>
      <c r="X316" s="12"/>
      <c r="Y316" s="12"/>
      <c r="Z316" s="12"/>
    </row>
    <row r="317" spans="1:26" ht="16.350000000000001" customHeight="1" x14ac:dyDescent="0.2">
      <c r="A317" s="12"/>
      <c r="B317" s="12"/>
      <c r="C317" s="12"/>
      <c r="D317" s="12"/>
      <c r="E317" s="12"/>
      <c r="F317" s="7"/>
      <c r="G317" s="7"/>
      <c r="H317" s="12"/>
      <c r="I317" s="12"/>
      <c r="J317" s="12"/>
      <c r="K317" s="12"/>
      <c r="L317" s="12"/>
      <c r="M317" s="12"/>
      <c r="N317" s="12"/>
      <c r="O317" s="12"/>
      <c r="P317" s="12"/>
      <c r="Q317" s="12"/>
      <c r="R317" s="12"/>
      <c r="S317" s="12"/>
      <c r="T317" s="12"/>
      <c r="U317" s="12"/>
      <c r="V317" s="12"/>
      <c r="W317" s="12"/>
      <c r="X317" s="12"/>
      <c r="Y317" s="12"/>
      <c r="Z317" s="12"/>
    </row>
    <row r="318" spans="1:26" ht="16.350000000000001" customHeight="1" x14ac:dyDescent="0.2">
      <c r="A318" s="12"/>
      <c r="B318" s="12"/>
      <c r="C318" s="12"/>
      <c r="D318" s="12"/>
      <c r="E318" s="12"/>
      <c r="F318" s="7"/>
      <c r="G318" s="7"/>
      <c r="H318" s="12"/>
      <c r="I318" s="12"/>
      <c r="J318" s="12"/>
      <c r="K318" s="12"/>
      <c r="L318" s="12"/>
      <c r="M318" s="12"/>
      <c r="N318" s="12"/>
      <c r="O318" s="12"/>
      <c r="P318" s="12"/>
      <c r="Q318" s="12"/>
      <c r="R318" s="12"/>
      <c r="S318" s="12"/>
      <c r="T318" s="12"/>
      <c r="U318" s="12"/>
      <c r="V318" s="12"/>
      <c r="W318" s="12"/>
      <c r="X318" s="12"/>
      <c r="Y318" s="12"/>
      <c r="Z318" s="12"/>
    </row>
    <row r="319" spans="1:26" ht="16.350000000000001" customHeight="1" x14ac:dyDescent="0.2">
      <c r="A319" s="12"/>
      <c r="B319" s="12"/>
      <c r="C319" s="12"/>
      <c r="D319" s="12"/>
      <c r="E319" s="12"/>
      <c r="F319" s="7"/>
      <c r="G319" s="7"/>
      <c r="H319" s="12"/>
      <c r="I319" s="12"/>
      <c r="J319" s="12"/>
      <c r="K319" s="12"/>
      <c r="L319" s="12"/>
      <c r="M319" s="12"/>
      <c r="N319" s="12"/>
      <c r="O319" s="12"/>
      <c r="P319" s="12"/>
      <c r="Q319" s="12"/>
      <c r="R319" s="12"/>
      <c r="S319" s="12"/>
      <c r="T319" s="12"/>
      <c r="U319" s="12"/>
      <c r="V319" s="12"/>
      <c r="W319" s="12"/>
      <c r="X319" s="12"/>
      <c r="Y319" s="12"/>
      <c r="Z319" s="12"/>
    </row>
    <row r="320" spans="1:26" ht="16.350000000000001" customHeight="1" x14ac:dyDescent="0.2">
      <c r="A320" s="12"/>
      <c r="B320" s="12"/>
      <c r="C320" s="12"/>
      <c r="D320" s="12"/>
      <c r="E320" s="12"/>
      <c r="F320" s="7"/>
      <c r="G320" s="7"/>
      <c r="H320" s="12"/>
      <c r="I320" s="12"/>
      <c r="J320" s="12"/>
      <c r="K320" s="12"/>
      <c r="L320" s="12"/>
      <c r="M320" s="12"/>
      <c r="N320" s="12"/>
      <c r="O320" s="12"/>
      <c r="P320" s="12"/>
      <c r="Q320" s="12"/>
      <c r="R320" s="12"/>
      <c r="S320" s="12"/>
      <c r="T320" s="12"/>
      <c r="U320" s="12"/>
      <c r="V320" s="12"/>
      <c r="W320" s="12"/>
      <c r="X320" s="12"/>
      <c r="Y320" s="12"/>
      <c r="Z320" s="12"/>
    </row>
    <row r="321" spans="1:26" ht="16.350000000000001" customHeight="1" x14ac:dyDescent="0.2">
      <c r="A321" s="12"/>
      <c r="B321" s="12"/>
      <c r="C321" s="12"/>
      <c r="D321" s="12"/>
      <c r="E321" s="12"/>
      <c r="F321" s="7"/>
      <c r="G321" s="7"/>
      <c r="H321" s="12"/>
      <c r="I321" s="12"/>
      <c r="J321" s="12"/>
      <c r="K321" s="12"/>
      <c r="L321" s="12"/>
      <c r="M321" s="12"/>
      <c r="N321" s="12"/>
      <c r="O321" s="12"/>
      <c r="P321" s="12"/>
      <c r="Q321" s="12"/>
      <c r="R321" s="12"/>
      <c r="S321" s="12"/>
      <c r="T321" s="12"/>
      <c r="U321" s="12"/>
      <c r="V321" s="12"/>
      <c r="W321" s="12"/>
      <c r="X321" s="12"/>
      <c r="Y321" s="12"/>
      <c r="Z321" s="12"/>
    </row>
    <row r="322" spans="1:26" ht="16.350000000000001" customHeight="1" x14ac:dyDescent="0.2">
      <c r="A322" s="12"/>
      <c r="B322" s="12"/>
      <c r="C322" s="12"/>
      <c r="D322" s="12"/>
      <c r="E322" s="12"/>
      <c r="F322" s="7"/>
      <c r="G322" s="7"/>
      <c r="H322" s="12"/>
      <c r="I322" s="12"/>
      <c r="J322" s="12"/>
      <c r="K322" s="12"/>
      <c r="L322" s="12"/>
      <c r="M322" s="12"/>
      <c r="N322" s="12"/>
      <c r="O322" s="12"/>
      <c r="P322" s="12"/>
      <c r="Q322" s="12"/>
      <c r="R322" s="12"/>
      <c r="S322" s="12"/>
      <c r="T322" s="12"/>
      <c r="U322" s="12"/>
      <c r="V322" s="12"/>
      <c r="W322" s="12"/>
      <c r="X322" s="12"/>
      <c r="Y322" s="12"/>
      <c r="Z322" s="12"/>
    </row>
    <row r="323" spans="1:26" ht="16.350000000000001" customHeight="1" x14ac:dyDescent="0.2">
      <c r="A323" s="12"/>
      <c r="B323" s="12"/>
      <c r="C323" s="12"/>
      <c r="D323" s="12"/>
      <c r="E323" s="12"/>
      <c r="F323" s="7"/>
      <c r="G323" s="7"/>
      <c r="H323" s="12"/>
      <c r="I323" s="12"/>
      <c r="J323" s="12"/>
      <c r="K323" s="12"/>
      <c r="L323" s="12"/>
      <c r="M323" s="12"/>
      <c r="N323" s="12"/>
      <c r="O323" s="12"/>
      <c r="P323" s="12"/>
      <c r="Q323" s="12"/>
      <c r="R323" s="12"/>
      <c r="S323" s="12"/>
      <c r="T323" s="12"/>
      <c r="U323" s="12"/>
      <c r="V323" s="12"/>
      <c r="W323" s="12"/>
      <c r="X323" s="12"/>
      <c r="Y323" s="12"/>
      <c r="Z323" s="12"/>
    </row>
    <row r="324" spans="1:26" ht="16.350000000000001" customHeight="1" x14ac:dyDescent="0.2">
      <c r="A324" s="12"/>
      <c r="B324" s="12"/>
      <c r="C324" s="12"/>
      <c r="D324" s="12"/>
      <c r="E324" s="12"/>
      <c r="F324" s="7"/>
      <c r="G324" s="7"/>
      <c r="H324" s="12"/>
      <c r="I324" s="12"/>
      <c r="J324" s="12"/>
      <c r="K324" s="12"/>
      <c r="L324" s="12"/>
      <c r="M324" s="12"/>
      <c r="N324" s="12"/>
      <c r="O324" s="12"/>
      <c r="P324" s="12"/>
      <c r="Q324" s="12"/>
      <c r="R324" s="12"/>
      <c r="S324" s="12"/>
      <c r="T324" s="12"/>
      <c r="U324" s="12"/>
      <c r="V324" s="12"/>
      <c r="W324" s="12"/>
      <c r="X324" s="12"/>
      <c r="Y324" s="12"/>
      <c r="Z324" s="12"/>
    </row>
    <row r="325" spans="1:26" ht="16.350000000000001" customHeight="1" x14ac:dyDescent="0.2">
      <c r="A325" s="12"/>
      <c r="B325" s="12"/>
      <c r="C325" s="12"/>
      <c r="D325" s="12"/>
      <c r="E325" s="12"/>
      <c r="F325" s="7"/>
      <c r="G325" s="7"/>
      <c r="H325" s="12"/>
      <c r="I325" s="12"/>
      <c r="J325" s="12"/>
      <c r="K325" s="12"/>
      <c r="L325" s="12"/>
      <c r="M325" s="12"/>
      <c r="N325" s="12"/>
      <c r="O325" s="12"/>
      <c r="P325" s="12"/>
      <c r="Q325" s="12"/>
      <c r="R325" s="12"/>
      <c r="S325" s="12"/>
      <c r="T325" s="12"/>
      <c r="U325" s="12"/>
      <c r="V325" s="12"/>
      <c r="W325" s="12"/>
      <c r="X325" s="12"/>
      <c r="Y325" s="12"/>
      <c r="Z325" s="12"/>
    </row>
    <row r="326" spans="1:26" ht="16.350000000000001" customHeight="1" x14ac:dyDescent="0.2">
      <c r="A326" s="12"/>
      <c r="B326" s="12"/>
      <c r="C326" s="12"/>
      <c r="D326" s="12"/>
      <c r="E326" s="12"/>
      <c r="F326" s="7"/>
      <c r="G326" s="7"/>
      <c r="H326" s="12"/>
      <c r="I326" s="12"/>
      <c r="J326" s="12"/>
      <c r="K326" s="12"/>
      <c r="L326" s="12"/>
      <c r="M326" s="12"/>
      <c r="N326" s="12"/>
      <c r="O326" s="12"/>
      <c r="P326" s="12"/>
      <c r="Q326" s="12"/>
      <c r="R326" s="12"/>
      <c r="S326" s="12"/>
      <c r="T326" s="12"/>
      <c r="U326" s="12"/>
      <c r="V326" s="12"/>
      <c r="W326" s="12"/>
      <c r="X326" s="12"/>
      <c r="Y326" s="12"/>
      <c r="Z326" s="12"/>
    </row>
    <row r="327" spans="1:26" ht="16.350000000000001" customHeight="1" x14ac:dyDescent="0.2">
      <c r="A327" s="12"/>
      <c r="B327" s="12"/>
      <c r="C327" s="12"/>
      <c r="D327" s="12"/>
      <c r="E327" s="12"/>
      <c r="F327" s="7"/>
      <c r="G327" s="7"/>
      <c r="H327" s="12"/>
      <c r="I327" s="12"/>
      <c r="J327" s="12"/>
      <c r="K327" s="12"/>
      <c r="L327" s="12"/>
      <c r="M327" s="12"/>
      <c r="N327" s="12"/>
      <c r="O327" s="12"/>
      <c r="P327" s="12"/>
      <c r="Q327" s="12"/>
      <c r="R327" s="12"/>
      <c r="S327" s="12"/>
      <c r="T327" s="12"/>
      <c r="U327" s="12"/>
      <c r="V327" s="12"/>
      <c r="W327" s="12"/>
      <c r="X327" s="12"/>
      <c r="Y327" s="12"/>
      <c r="Z327" s="12"/>
    </row>
    <row r="328" spans="1:26" ht="16.350000000000001" customHeight="1" x14ac:dyDescent="0.2">
      <c r="A328" s="12"/>
      <c r="B328" s="12"/>
      <c r="C328" s="12"/>
      <c r="D328" s="12"/>
      <c r="E328" s="12"/>
      <c r="F328" s="7"/>
      <c r="G328" s="7"/>
      <c r="H328" s="12"/>
      <c r="I328" s="12"/>
      <c r="J328" s="12"/>
      <c r="K328" s="12"/>
      <c r="L328" s="12"/>
      <c r="M328" s="12"/>
      <c r="N328" s="12"/>
      <c r="O328" s="12"/>
      <c r="P328" s="12"/>
      <c r="Q328" s="12"/>
      <c r="R328" s="12"/>
      <c r="S328" s="12"/>
      <c r="T328" s="12"/>
      <c r="U328" s="12"/>
      <c r="V328" s="12"/>
      <c r="W328" s="12"/>
      <c r="X328" s="12"/>
      <c r="Y328" s="12"/>
      <c r="Z328" s="12"/>
    </row>
    <row r="329" spans="1:26" ht="16.350000000000001" customHeight="1" x14ac:dyDescent="0.2">
      <c r="A329" s="12"/>
      <c r="B329" s="12"/>
      <c r="C329" s="12"/>
      <c r="D329" s="12"/>
      <c r="E329" s="12"/>
      <c r="F329" s="7"/>
      <c r="G329" s="7"/>
      <c r="H329" s="12"/>
      <c r="I329" s="12"/>
      <c r="J329" s="12"/>
      <c r="K329" s="12"/>
      <c r="L329" s="12"/>
      <c r="M329" s="12"/>
      <c r="N329" s="12"/>
      <c r="O329" s="12"/>
      <c r="P329" s="12"/>
      <c r="Q329" s="12"/>
      <c r="R329" s="12"/>
      <c r="S329" s="12"/>
      <c r="T329" s="12"/>
      <c r="U329" s="12"/>
      <c r="V329" s="12"/>
      <c r="W329" s="12"/>
      <c r="X329" s="12"/>
      <c r="Y329" s="12"/>
      <c r="Z329" s="12"/>
    </row>
    <row r="330" spans="1:26" ht="16.350000000000001" customHeight="1" x14ac:dyDescent="0.2">
      <c r="A330" s="12"/>
      <c r="B330" s="12"/>
      <c r="C330" s="12"/>
      <c r="D330" s="12"/>
      <c r="E330" s="12"/>
      <c r="F330" s="7"/>
      <c r="G330" s="7"/>
      <c r="H330" s="12"/>
      <c r="I330" s="12"/>
      <c r="J330" s="12"/>
      <c r="K330" s="12"/>
      <c r="L330" s="12"/>
      <c r="M330" s="12"/>
      <c r="N330" s="12"/>
      <c r="O330" s="12"/>
      <c r="P330" s="12"/>
      <c r="Q330" s="12"/>
      <c r="R330" s="12"/>
      <c r="S330" s="12"/>
      <c r="T330" s="12"/>
      <c r="U330" s="12"/>
      <c r="V330" s="12"/>
      <c r="W330" s="12"/>
      <c r="X330" s="12"/>
      <c r="Y330" s="12"/>
      <c r="Z330" s="12"/>
    </row>
    <row r="331" spans="1:26" ht="16.350000000000001" customHeight="1" x14ac:dyDescent="0.2">
      <c r="A331" s="12"/>
      <c r="B331" s="12"/>
      <c r="C331" s="12"/>
      <c r="D331" s="12"/>
      <c r="E331" s="12"/>
      <c r="F331" s="7"/>
      <c r="G331" s="7"/>
      <c r="H331" s="12"/>
      <c r="I331" s="12"/>
      <c r="J331" s="12"/>
      <c r="K331" s="12"/>
      <c r="L331" s="12"/>
      <c r="M331" s="12"/>
      <c r="N331" s="12"/>
      <c r="O331" s="12"/>
      <c r="P331" s="12"/>
      <c r="Q331" s="12"/>
      <c r="R331" s="12"/>
      <c r="S331" s="12"/>
      <c r="T331" s="12"/>
      <c r="U331" s="12"/>
      <c r="V331" s="12"/>
      <c r="W331" s="12"/>
      <c r="X331" s="12"/>
      <c r="Y331" s="12"/>
      <c r="Z331" s="12"/>
    </row>
    <row r="332" spans="1:26" ht="16.350000000000001" customHeight="1" x14ac:dyDescent="0.2">
      <c r="A332" s="12"/>
      <c r="B332" s="12"/>
      <c r="C332" s="12"/>
      <c r="D332" s="12"/>
      <c r="E332" s="12"/>
      <c r="F332" s="7"/>
      <c r="G332" s="7"/>
      <c r="H332" s="12"/>
      <c r="I332" s="12"/>
      <c r="J332" s="12"/>
      <c r="K332" s="12"/>
      <c r="L332" s="12"/>
      <c r="M332" s="12"/>
      <c r="N332" s="12"/>
      <c r="O332" s="12"/>
      <c r="P332" s="12"/>
      <c r="Q332" s="12"/>
      <c r="R332" s="12"/>
      <c r="S332" s="12"/>
      <c r="T332" s="12"/>
      <c r="U332" s="12"/>
      <c r="V332" s="12"/>
      <c r="W332" s="12"/>
      <c r="X332" s="12"/>
      <c r="Y332" s="12"/>
      <c r="Z332" s="12"/>
    </row>
    <row r="333" spans="1:26" ht="16.350000000000001" customHeight="1" x14ac:dyDescent="0.2">
      <c r="A333" s="12"/>
      <c r="B333" s="12"/>
      <c r="C333" s="12"/>
      <c r="D333" s="12"/>
      <c r="E333" s="12"/>
      <c r="F333" s="7"/>
      <c r="G333" s="7"/>
      <c r="H333" s="12"/>
      <c r="I333" s="12"/>
      <c r="J333" s="12"/>
      <c r="K333" s="12"/>
      <c r="L333" s="12"/>
      <c r="M333" s="12"/>
      <c r="N333" s="12"/>
      <c r="O333" s="12"/>
      <c r="P333" s="12"/>
      <c r="Q333" s="12"/>
      <c r="R333" s="12"/>
      <c r="S333" s="12"/>
      <c r="T333" s="12"/>
      <c r="U333" s="12"/>
      <c r="V333" s="12"/>
      <c r="W333" s="12"/>
      <c r="X333" s="12"/>
      <c r="Y333" s="12"/>
      <c r="Z333" s="12"/>
    </row>
    <row r="334" spans="1:26" ht="16.350000000000001" customHeight="1" x14ac:dyDescent="0.2">
      <c r="A334" s="12"/>
      <c r="B334" s="12"/>
      <c r="C334" s="12"/>
      <c r="D334" s="12"/>
      <c r="E334" s="12"/>
      <c r="F334" s="7"/>
      <c r="G334" s="7"/>
      <c r="H334" s="12"/>
      <c r="I334" s="12"/>
      <c r="J334" s="12"/>
      <c r="K334" s="12"/>
      <c r="L334" s="12"/>
      <c r="M334" s="12"/>
      <c r="N334" s="12"/>
      <c r="O334" s="12"/>
      <c r="P334" s="12"/>
      <c r="Q334" s="12"/>
      <c r="R334" s="12"/>
      <c r="S334" s="12"/>
      <c r="T334" s="12"/>
      <c r="U334" s="12"/>
      <c r="V334" s="12"/>
      <c r="W334" s="12"/>
      <c r="X334" s="12"/>
      <c r="Y334" s="12"/>
      <c r="Z334" s="12"/>
    </row>
    <row r="335" spans="1:26" ht="16.350000000000001" customHeight="1" x14ac:dyDescent="0.2">
      <c r="A335" s="12"/>
      <c r="B335" s="12"/>
      <c r="C335" s="12"/>
      <c r="D335" s="12"/>
      <c r="E335" s="12"/>
      <c r="F335" s="7"/>
      <c r="G335" s="7"/>
      <c r="H335" s="12"/>
      <c r="I335" s="12"/>
      <c r="J335" s="12"/>
      <c r="K335" s="12"/>
      <c r="L335" s="12"/>
      <c r="M335" s="12"/>
      <c r="N335" s="12"/>
      <c r="O335" s="12"/>
      <c r="P335" s="12"/>
      <c r="Q335" s="12"/>
      <c r="R335" s="12"/>
      <c r="S335" s="12"/>
      <c r="T335" s="12"/>
      <c r="U335" s="12"/>
      <c r="V335" s="12"/>
      <c r="W335" s="12"/>
      <c r="X335" s="12"/>
      <c r="Y335" s="12"/>
      <c r="Z335" s="12"/>
    </row>
    <row r="336" spans="1:26" ht="16.350000000000001" customHeight="1" x14ac:dyDescent="0.2">
      <c r="A336" s="12"/>
      <c r="B336" s="12"/>
      <c r="C336" s="12"/>
      <c r="D336" s="12"/>
      <c r="E336" s="12"/>
      <c r="F336" s="7"/>
      <c r="G336" s="7"/>
      <c r="H336" s="12"/>
      <c r="I336" s="12"/>
      <c r="J336" s="12"/>
      <c r="K336" s="12"/>
      <c r="L336" s="12"/>
      <c r="M336" s="12"/>
      <c r="N336" s="12"/>
      <c r="O336" s="12"/>
      <c r="P336" s="12"/>
      <c r="Q336" s="12"/>
      <c r="R336" s="12"/>
      <c r="S336" s="12"/>
      <c r="T336" s="12"/>
      <c r="U336" s="12"/>
      <c r="V336" s="12"/>
      <c r="W336" s="12"/>
      <c r="X336" s="12"/>
      <c r="Y336" s="12"/>
      <c r="Z336" s="12"/>
    </row>
    <row r="337" spans="1:26" ht="16.350000000000001" customHeight="1" x14ac:dyDescent="0.2">
      <c r="A337" s="12"/>
      <c r="B337" s="12"/>
      <c r="C337" s="12"/>
      <c r="D337" s="12"/>
      <c r="E337" s="12"/>
      <c r="F337" s="7"/>
      <c r="G337" s="7"/>
      <c r="H337" s="12"/>
      <c r="I337" s="12"/>
      <c r="J337" s="12"/>
      <c r="K337" s="12"/>
      <c r="L337" s="12"/>
      <c r="M337" s="12"/>
      <c r="N337" s="12"/>
      <c r="O337" s="12"/>
      <c r="P337" s="12"/>
      <c r="Q337" s="12"/>
      <c r="R337" s="12"/>
      <c r="S337" s="12"/>
      <c r="T337" s="12"/>
      <c r="U337" s="12"/>
      <c r="V337" s="12"/>
      <c r="W337" s="12"/>
      <c r="X337" s="12"/>
      <c r="Y337" s="12"/>
      <c r="Z337" s="12"/>
    </row>
    <row r="338" spans="1:26" ht="16.350000000000001" customHeight="1" x14ac:dyDescent="0.2">
      <c r="A338" s="12"/>
      <c r="B338" s="12"/>
      <c r="C338" s="12"/>
      <c r="D338" s="12"/>
      <c r="E338" s="12"/>
      <c r="F338" s="7"/>
      <c r="G338" s="7"/>
      <c r="H338" s="12"/>
      <c r="I338" s="12"/>
      <c r="J338" s="12"/>
      <c r="K338" s="12"/>
      <c r="L338" s="12"/>
      <c r="M338" s="12"/>
      <c r="N338" s="12"/>
      <c r="O338" s="12"/>
      <c r="P338" s="12"/>
      <c r="Q338" s="12"/>
      <c r="R338" s="12"/>
      <c r="S338" s="12"/>
      <c r="T338" s="12"/>
      <c r="U338" s="12"/>
      <c r="V338" s="12"/>
      <c r="W338" s="12"/>
      <c r="X338" s="12"/>
      <c r="Y338" s="12"/>
      <c r="Z338" s="12"/>
    </row>
    <row r="339" spans="1:26" ht="16.350000000000001" customHeight="1" x14ac:dyDescent="0.2">
      <c r="A339" s="12"/>
      <c r="B339" s="12"/>
      <c r="C339" s="12"/>
      <c r="D339" s="12"/>
      <c r="E339" s="12"/>
      <c r="F339" s="7"/>
      <c r="G339" s="7"/>
      <c r="H339" s="12"/>
      <c r="I339" s="12"/>
      <c r="J339" s="12"/>
      <c r="K339" s="12"/>
      <c r="L339" s="12"/>
      <c r="M339" s="12"/>
      <c r="N339" s="12"/>
      <c r="O339" s="12"/>
      <c r="P339" s="12"/>
      <c r="Q339" s="12"/>
      <c r="R339" s="12"/>
      <c r="S339" s="12"/>
      <c r="T339" s="12"/>
      <c r="U339" s="12"/>
      <c r="V339" s="12"/>
      <c r="W339" s="12"/>
      <c r="X339" s="12"/>
      <c r="Y339" s="12"/>
      <c r="Z339" s="12"/>
    </row>
    <row r="340" spans="1:26" ht="16.350000000000001" customHeight="1" x14ac:dyDescent="0.2">
      <c r="A340" s="12"/>
      <c r="B340" s="12"/>
      <c r="C340" s="12"/>
      <c r="D340" s="12"/>
      <c r="E340" s="12"/>
      <c r="F340" s="7"/>
      <c r="G340" s="7"/>
      <c r="H340" s="12"/>
      <c r="I340" s="12"/>
      <c r="J340" s="12"/>
      <c r="K340" s="12"/>
      <c r="L340" s="12"/>
      <c r="M340" s="12"/>
      <c r="N340" s="12"/>
      <c r="O340" s="12"/>
      <c r="P340" s="12"/>
      <c r="Q340" s="12"/>
      <c r="R340" s="12"/>
      <c r="S340" s="12"/>
      <c r="T340" s="12"/>
      <c r="U340" s="12"/>
      <c r="V340" s="12"/>
      <c r="W340" s="12"/>
      <c r="X340" s="12"/>
      <c r="Y340" s="12"/>
      <c r="Z340" s="12"/>
    </row>
    <row r="341" spans="1:26" ht="16.350000000000001" customHeight="1" x14ac:dyDescent="0.2">
      <c r="A341" s="12"/>
      <c r="B341" s="12"/>
      <c r="C341" s="12"/>
      <c r="D341" s="12"/>
      <c r="E341" s="12"/>
      <c r="F341" s="7"/>
      <c r="G341" s="7"/>
      <c r="H341" s="12"/>
      <c r="I341" s="12"/>
      <c r="J341" s="12"/>
      <c r="K341" s="12"/>
      <c r="L341" s="12"/>
      <c r="M341" s="12"/>
      <c r="N341" s="12"/>
      <c r="O341" s="12"/>
      <c r="P341" s="12"/>
      <c r="Q341" s="12"/>
      <c r="R341" s="12"/>
      <c r="S341" s="12"/>
      <c r="T341" s="12"/>
      <c r="U341" s="12"/>
      <c r="V341" s="12"/>
      <c r="W341" s="12"/>
      <c r="X341" s="12"/>
      <c r="Y341" s="12"/>
      <c r="Z341" s="12"/>
    </row>
    <row r="342" spans="1:26" ht="16.350000000000001" customHeight="1" x14ac:dyDescent="0.2">
      <c r="A342" s="12"/>
      <c r="B342" s="12"/>
      <c r="C342" s="12"/>
      <c r="D342" s="12"/>
      <c r="E342" s="12"/>
      <c r="F342" s="7"/>
      <c r="G342" s="7"/>
      <c r="H342" s="12"/>
      <c r="I342" s="12"/>
      <c r="J342" s="12"/>
      <c r="K342" s="12"/>
      <c r="L342" s="12"/>
      <c r="M342" s="12"/>
      <c r="N342" s="12"/>
      <c r="O342" s="12"/>
      <c r="P342" s="12"/>
      <c r="Q342" s="12"/>
      <c r="R342" s="12"/>
      <c r="S342" s="12"/>
      <c r="T342" s="12"/>
      <c r="U342" s="12"/>
      <c r="V342" s="12"/>
      <c r="W342" s="12"/>
      <c r="X342" s="12"/>
      <c r="Y342" s="12"/>
      <c r="Z342" s="12"/>
    </row>
    <row r="343" spans="1:26" ht="16.350000000000001" customHeight="1" x14ac:dyDescent="0.2">
      <c r="A343" s="12"/>
      <c r="B343" s="12"/>
      <c r="C343" s="12"/>
      <c r="D343" s="12"/>
      <c r="E343" s="12"/>
      <c r="F343" s="7"/>
      <c r="G343" s="7"/>
      <c r="H343" s="12"/>
      <c r="I343" s="12"/>
      <c r="J343" s="12"/>
      <c r="K343" s="12"/>
      <c r="L343" s="12"/>
      <c r="M343" s="12"/>
      <c r="N343" s="12"/>
      <c r="O343" s="12"/>
      <c r="P343" s="12"/>
      <c r="Q343" s="12"/>
      <c r="R343" s="12"/>
      <c r="S343" s="12"/>
      <c r="T343" s="12"/>
      <c r="U343" s="12"/>
      <c r="V343" s="12"/>
      <c r="W343" s="12"/>
      <c r="X343" s="12"/>
      <c r="Y343" s="12"/>
      <c r="Z343" s="12"/>
    </row>
    <row r="344" spans="1:26" ht="16.350000000000001" customHeight="1" x14ac:dyDescent="0.2">
      <c r="A344" s="12"/>
      <c r="B344" s="12"/>
      <c r="C344" s="12"/>
      <c r="D344" s="12"/>
      <c r="E344" s="12"/>
      <c r="F344" s="7"/>
      <c r="G344" s="7"/>
      <c r="H344" s="12"/>
      <c r="I344" s="12"/>
      <c r="J344" s="12"/>
      <c r="K344" s="12"/>
      <c r="L344" s="12"/>
      <c r="M344" s="12"/>
      <c r="N344" s="12"/>
      <c r="O344" s="12"/>
      <c r="P344" s="12"/>
      <c r="Q344" s="12"/>
      <c r="R344" s="12"/>
      <c r="S344" s="12"/>
      <c r="T344" s="12"/>
      <c r="U344" s="12"/>
      <c r="V344" s="12"/>
      <c r="W344" s="12"/>
      <c r="X344" s="12"/>
      <c r="Y344" s="12"/>
      <c r="Z344" s="12"/>
    </row>
    <row r="345" spans="1:26" ht="16.350000000000001" customHeight="1" x14ac:dyDescent="0.2">
      <c r="A345" s="12"/>
      <c r="B345" s="12"/>
      <c r="C345" s="12"/>
      <c r="D345" s="12"/>
      <c r="E345" s="12"/>
      <c r="F345" s="7"/>
      <c r="G345" s="7"/>
      <c r="H345" s="12"/>
      <c r="I345" s="12"/>
      <c r="J345" s="12"/>
      <c r="K345" s="12"/>
      <c r="L345" s="12"/>
      <c r="M345" s="12"/>
      <c r="N345" s="12"/>
      <c r="O345" s="12"/>
      <c r="P345" s="12"/>
      <c r="Q345" s="12"/>
      <c r="R345" s="12"/>
      <c r="S345" s="12"/>
      <c r="T345" s="12"/>
      <c r="U345" s="12"/>
      <c r="V345" s="12"/>
      <c r="W345" s="12"/>
      <c r="X345" s="12"/>
      <c r="Y345" s="12"/>
      <c r="Z345" s="12"/>
    </row>
    <row r="346" spans="1:26" ht="16.350000000000001" customHeight="1" x14ac:dyDescent="0.2">
      <c r="A346" s="12"/>
      <c r="B346" s="12"/>
      <c r="C346" s="12"/>
      <c r="D346" s="12"/>
      <c r="E346" s="12"/>
      <c r="F346" s="7"/>
      <c r="G346" s="7"/>
      <c r="H346" s="12"/>
      <c r="I346" s="12"/>
      <c r="J346" s="12"/>
      <c r="K346" s="12"/>
      <c r="L346" s="12"/>
      <c r="M346" s="12"/>
      <c r="N346" s="12"/>
      <c r="O346" s="12"/>
      <c r="P346" s="12"/>
      <c r="Q346" s="12"/>
      <c r="R346" s="12"/>
      <c r="S346" s="12"/>
      <c r="T346" s="12"/>
      <c r="U346" s="12"/>
      <c r="V346" s="12"/>
      <c r="W346" s="12"/>
      <c r="X346" s="12"/>
      <c r="Y346" s="12"/>
      <c r="Z346" s="12"/>
    </row>
    <row r="347" spans="1:26" ht="16.350000000000001" customHeight="1" x14ac:dyDescent="0.2">
      <c r="A347" s="12"/>
      <c r="B347" s="12"/>
      <c r="C347" s="12"/>
      <c r="D347" s="12"/>
      <c r="E347" s="12"/>
      <c r="F347" s="7"/>
      <c r="G347" s="7"/>
      <c r="H347" s="12"/>
      <c r="I347" s="12"/>
      <c r="J347" s="12"/>
      <c r="K347" s="12"/>
      <c r="L347" s="12"/>
      <c r="M347" s="12"/>
      <c r="N347" s="12"/>
      <c r="O347" s="12"/>
      <c r="P347" s="12"/>
      <c r="Q347" s="12"/>
      <c r="R347" s="12"/>
      <c r="S347" s="12"/>
      <c r="T347" s="12"/>
      <c r="U347" s="12"/>
      <c r="V347" s="12"/>
      <c r="W347" s="12"/>
      <c r="X347" s="12"/>
      <c r="Y347" s="12"/>
      <c r="Z347" s="12"/>
    </row>
    <row r="348" spans="1:26" ht="16.350000000000001" customHeight="1" x14ac:dyDescent="0.2">
      <c r="A348" s="12"/>
      <c r="B348" s="12"/>
      <c r="C348" s="12"/>
      <c r="D348" s="12"/>
      <c r="E348" s="12"/>
      <c r="F348" s="7"/>
      <c r="G348" s="7"/>
      <c r="H348" s="12"/>
      <c r="I348" s="12"/>
      <c r="J348" s="12"/>
      <c r="K348" s="12"/>
      <c r="L348" s="12"/>
      <c r="M348" s="12"/>
      <c r="N348" s="12"/>
      <c r="O348" s="12"/>
      <c r="P348" s="12"/>
      <c r="Q348" s="12"/>
      <c r="R348" s="12"/>
      <c r="S348" s="12"/>
      <c r="T348" s="12"/>
      <c r="U348" s="12"/>
      <c r="V348" s="12"/>
      <c r="W348" s="12"/>
      <c r="X348" s="12"/>
      <c r="Y348" s="12"/>
      <c r="Z348" s="12"/>
    </row>
    <row r="349" spans="1:26" ht="16.350000000000001" customHeight="1" x14ac:dyDescent="0.2">
      <c r="A349" s="12"/>
      <c r="B349" s="12"/>
      <c r="C349" s="12"/>
      <c r="D349" s="12"/>
      <c r="E349" s="12"/>
      <c r="F349" s="7"/>
      <c r="G349" s="7"/>
      <c r="H349" s="12"/>
      <c r="I349" s="12"/>
      <c r="J349" s="12"/>
      <c r="K349" s="12"/>
      <c r="L349" s="12"/>
      <c r="M349" s="12"/>
      <c r="N349" s="12"/>
      <c r="O349" s="12"/>
      <c r="P349" s="12"/>
      <c r="Q349" s="12"/>
      <c r="R349" s="12"/>
      <c r="S349" s="12"/>
      <c r="T349" s="12"/>
      <c r="U349" s="12"/>
      <c r="V349" s="12"/>
      <c r="W349" s="12"/>
      <c r="X349" s="12"/>
      <c r="Y349" s="12"/>
      <c r="Z349" s="12"/>
    </row>
    <row r="350" spans="1:26" ht="16.350000000000001" customHeight="1" x14ac:dyDescent="0.2">
      <c r="A350" s="12"/>
      <c r="B350" s="12"/>
      <c r="C350" s="12"/>
      <c r="D350" s="12"/>
      <c r="E350" s="12"/>
      <c r="F350" s="7"/>
      <c r="G350" s="7"/>
      <c r="H350" s="12"/>
      <c r="I350" s="12"/>
      <c r="J350" s="12"/>
      <c r="K350" s="12"/>
      <c r="L350" s="12"/>
      <c r="M350" s="12"/>
      <c r="N350" s="12"/>
      <c r="O350" s="12"/>
      <c r="P350" s="12"/>
      <c r="Q350" s="12"/>
      <c r="R350" s="12"/>
      <c r="S350" s="12"/>
      <c r="T350" s="12"/>
      <c r="U350" s="12"/>
      <c r="V350" s="12"/>
      <c r="W350" s="12"/>
      <c r="X350" s="12"/>
      <c r="Y350" s="12"/>
      <c r="Z350" s="12"/>
    </row>
    <row r="351" spans="1:26" ht="16.350000000000001" customHeight="1" x14ac:dyDescent="0.2">
      <c r="A351" s="12"/>
      <c r="B351" s="12"/>
      <c r="C351" s="12"/>
      <c r="D351" s="12"/>
      <c r="E351" s="12"/>
      <c r="F351" s="7"/>
      <c r="G351" s="7"/>
      <c r="H351" s="12"/>
      <c r="I351" s="12"/>
      <c r="J351" s="12"/>
      <c r="K351" s="12"/>
      <c r="L351" s="12"/>
      <c r="M351" s="12"/>
      <c r="N351" s="12"/>
      <c r="O351" s="12"/>
      <c r="P351" s="12"/>
      <c r="Q351" s="12"/>
      <c r="R351" s="12"/>
      <c r="S351" s="12"/>
      <c r="T351" s="12"/>
      <c r="U351" s="12"/>
      <c r="V351" s="12"/>
      <c r="W351" s="12"/>
      <c r="X351" s="12"/>
      <c r="Y351" s="12"/>
      <c r="Z351" s="12"/>
    </row>
    <row r="352" spans="1:26" ht="16.350000000000001" customHeight="1" x14ac:dyDescent="0.2">
      <c r="A352" s="12"/>
      <c r="B352" s="12"/>
      <c r="C352" s="12"/>
      <c r="D352" s="12"/>
      <c r="E352" s="12"/>
      <c r="F352" s="7"/>
      <c r="G352" s="7"/>
      <c r="H352" s="12"/>
      <c r="I352" s="12"/>
      <c r="J352" s="12"/>
      <c r="K352" s="12"/>
      <c r="L352" s="12"/>
      <c r="M352" s="12"/>
      <c r="N352" s="12"/>
      <c r="O352" s="12"/>
      <c r="P352" s="12"/>
      <c r="Q352" s="12"/>
      <c r="R352" s="12"/>
      <c r="S352" s="12"/>
      <c r="T352" s="12"/>
      <c r="U352" s="12"/>
      <c r="V352" s="12"/>
      <c r="W352" s="12"/>
      <c r="X352" s="12"/>
      <c r="Y352" s="12"/>
      <c r="Z352" s="12"/>
    </row>
    <row r="353" spans="1:26" ht="16.350000000000001" customHeight="1" x14ac:dyDescent="0.2">
      <c r="A353" s="12"/>
      <c r="B353" s="12"/>
      <c r="C353" s="12"/>
      <c r="D353" s="12"/>
      <c r="E353" s="12"/>
      <c r="F353" s="7"/>
      <c r="G353" s="7"/>
      <c r="H353" s="12"/>
      <c r="I353" s="12"/>
      <c r="J353" s="12"/>
      <c r="K353" s="12"/>
      <c r="L353" s="12"/>
      <c r="M353" s="12"/>
      <c r="N353" s="12"/>
      <c r="O353" s="12"/>
      <c r="P353" s="12"/>
      <c r="Q353" s="12"/>
      <c r="R353" s="12"/>
      <c r="S353" s="12"/>
      <c r="T353" s="12"/>
      <c r="U353" s="12"/>
      <c r="V353" s="12"/>
      <c r="W353" s="12"/>
      <c r="X353" s="12"/>
      <c r="Y353" s="12"/>
      <c r="Z353" s="12"/>
    </row>
    <row r="354" spans="1:26" ht="16.350000000000001" customHeight="1" x14ac:dyDescent="0.2">
      <c r="A354" s="12"/>
      <c r="B354" s="12"/>
      <c r="C354" s="12"/>
      <c r="D354" s="12"/>
      <c r="E354" s="12"/>
      <c r="F354" s="7"/>
      <c r="G354" s="7"/>
      <c r="H354" s="12"/>
      <c r="I354" s="12"/>
      <c r="J354" s="12"/>
      <c r="K354" s="12"/>
      <c r="L354" s="12"/>
      <c r="M354" s="12"/>
      <c r="N354" s="12"/>
      <c r="O354" s="12"/>
      <c r="P354" s="12"/>
      <c r="Q354" s="12"/>
      <c r="R354" s="12"/>
      <c r="S354" s="12"/>
      <c r="T354" s="12"/>
      <c r="U354" s="12"/>
      <c r="V354" s="12"/>
      <c r="W354" s="12"/>
      <c r="X354" s="12"/>
      <c r="Y354" s="12"/>
      <c r="Z354" s="12"/>
    </row>
    <row r="355" spans="1:26" ht="16.350000000000001" customHeight="1" x14ac:dyDescent="0.2">
      <c r="A355" s="12"/>
      <c r="B355" s="12"/>
      <c r="C355" s="12"/>
      <c r="D355" s="12"/>
      <c r="E355" s="12"/>
      <c r="F355" s="7"/>
      <c r="G355" s="7"/>
      <c r="H355" s="12"/>
      <c r="I355" s="12"/>
      <c r="J355" s="12"/>
      <c r="K355" s="12"/>
      <c r="L355" s="12"/>
      <c r="M355" s="12"/>
      <c r="N355" s="12"/>
      <c r="O355" s="12"/>
      <c r="P355" s="12"/>
      <c r="Q355" s="12"/>
      <c r="R355" s="12"/>
      <c r="S355" s="12"/>
      <c r="T355" s="12"/>
      <c r="U355" s="12"/>
      <c r="V355" s="12"/>
      <c r="W355" s="12"/>
      <c r="X355" s="12"/>
      <c r="Y355" s="12"/>
      <c r="Z355" s="12"/>
    </row>
    <row r="356" spans="1:26" ht="16.350000000000001" customHeight="1" x14ac:dyDescent="0.2">
      <c r="A356" s="12"/>
      <c r="B356" s="12"/>
      <c r="C356" s="12"/>
      <c r="D356" s="12"/>
      <c r="E356" s="12"/>
      <c r="F356" s="7"/>
      <c r="G356" s="7"/>
      <c r="H356" s="12"/>
      <c r="I356" s="12"/>
      <c r="J356" s="12"/>
      <c r="K356" s="12"/>
      <c r="L356" s="12"/>
      <c r="M356" s="12"/>
      <c r="N356" s="12"/>
      <c r="O356" s="12"/>
      <c r="P356" s="12"/>
      <c r="Q356" s="12"/>
      <c r="R356" s="12"/>
      <c r="S356" s="12"/>
      <c r="T356" s="12"/>
      <c r="U356" s="12"/>
      <c r="V356" s="12"/>
      <c r="W356" s="12"/>
      <c r="X356" s="12"/>
      <c r="Y356" s="12"/>
      <c r="Z356" s="12"/>
    </row>
    <row r="357" spans="1:26" ht="16.350000000000001" customHeight="1" x14ac:dyDescent="0.2">
      <c r="A357" s="12"/>
      <c r="B357" s="12"/>
      <c r="C357" s="12"/>
      <c r="D357" s="12"/>
      <c r="E357" s="12"/>
      <c r="F357" s="7"/>
      <c r="G357" s="7"/>
      <c r="H357" s="12"/>
      <c r="I357" s="12"/>
      <c r="J357" s="12"/>
      <c r="K357" s="12"/>
      <c r="L357" s="12"/>
      <c r="M357" s="12"/>
      <c r="N357" s="12"/>
      <c r="O357" s="12"/>
      <c r="P357" s="12"/>
      <c r="Q357" s="12"/>
      <c r="R357" s="12"/>
      <c r="S357" s="12"/>
      <c r="T357" s="12"/>
      <c r="U357" s="12"/>
      <c r="V357" s="12"/>
      <c r="W357" s="12"/>
      <c r="X357" s="12"/>
      <c r="Y357" s="12"/>
      <c r="Z357" s="12"/>
    </row>
    <row r="358" spans="1:26" ht="16.350000000000001" customHeight="1" x14ac:dyDescent="0.2">
      <c r="A358" s="12"/>
      <c r="B358" s="12"/>
      <c r="C358" s="12"/>
      <c r="D358" s="12"/>
      <c r="E358" s="12"/>
      <c r="F358" s="7"/>
      <c r="G358" s="7"/>
      <c r="H358" s="12"/>
      <c r="I358" s="12"/>
      <c r="J358" s="12"/>
      <c r="K358" s="12"/>
      <c r="L358" s="12"/>
      <c r="M358" s="12"/>
      <c r="N358" s="12"/>
      <c r="O358" s="12"/>
      <c r="P358" s="12"/>
      <c r="Q358" s="12"/>
      <c r="R358" s="12"/>
      <c r="S358" s="12"/>
      <c r="T358" s="12"/>
      <c r="U358" s="12"/>
      <c r="V358" s="12"/>
      <c r="W358" s="12"/>
      <c r="X358" s="12"/>
      <c r="Y358" s="12"/>
      <c r="Z358" s="12"/>
    </row>
    <row r="359" spans="1:26" ht="16.350000000000001" customHeight="1" x14ac:dyDescent="0.2">
      <c r="A359" s="12"/>
      <c r="B359" s="12"/>
      <c r="C359" s="12"/>
      <c r="D359" s="12"/>
      <c r="E359" s="12"/>
      <c r="F359" s="7"/>
      <c r="G359" s="7"/>
      <c r="H359" s="12"/>
      <c r="I359" s="12"/>
      <c r="J359" s="12"/>
      <c r="K359" s="12"/>
      <c r="L359" s="12"/>
      <c r="M359" s="12"/>
      <c r="N359" s="12"/>
      <c r="O359" s="12"/>
      <c r="P359" s="12"/>
      <c r="Q359" s="12"/>
      <c r="R359" s="12"/>
      <c r="S359" s="12"/>
      <c r="T359" s="12"/>
      <c r="U359" s="12"/>
      <c r="V359" s="12"/>
      <c r="W359" s="12"/>
      <c r="X359" s="12"/>
      <c r="Y359" s="12"/>
      <c r="Z359" s="12"/>
    </row>
    <row r="360" spans="1:26" ht="16.350000000000001" customHeight="1" x14ac:dyDescent="0.2">
      <c r="A360" s="12"/>
      <c r="B360" s="12"/>
      <c r="C360" s="12"/>
      <c r="D360" s="12"/>
      <c r="E360" s="12"/>
      <c r="F360" s="7"/>
      <c r="G360" s="7"/>
      <c r="H360" s="12"/>
      <c r="I360" s="12"/>
      <c r="J360" s="12"/>
      <c r="K360" s="12"/>
      <c r="L360" s="12"/>
      <c r="M360" s="12"/>
      <c r="N360" s="12"/>
      <c r="O360" s="12"/>
      <c r="P360" s="12"/>
      <c r="Q360" s="12"/>
      <c r="R360" s="12"/>
      <c r="S360" s="12"/>
      <c r="T360" s="12"/>
      <c r="U360" s="12"/>
      <c r="V360" s="12"/>
      <c r="W360" s="12"/>
      <c r="X360" s="12"/>
      <c r="Y360" s="12"/>
      <c r="Z360" s="12"/>
    </row>
    <row r="361" spans="1:26" ht="16.350000000000001" customHeight="1" x14ac:dyDescent="0.2">
      <c r="A361" s="12"/>
      <c r="B361" s="12"/>
      <c r="C361" s="12"/>
      <c r="D361" s="12"/>
      <c r="E361" s="12"/>
      <c r="F361" s="7"/>
      <c r="G361" s="7"/>
      <c r="H361" s="12"/>
      <c r="I361" s="12"/>
      <c r="J361" s="12"/>
      <c r="K361" s="12"/>
      <c r="L361" s="12"/>
      <c r="M361" s="12"/>
      <c r="N361" s="12"/>
      <c r="O361" s="12"/>
      <c r="P361" s="12"/>
      <c r="Q361" s="12"/>
      <c r="R361" s="12"/>
      <c r="S361" s="12"/>
      <c r="T361" s="12"/>
      <c r="U361" s="12"/>
      <c r="V361" s="12"/>
      <c r="W361" s="12"/>
      <c r="X361" s="12"/>
      <c r="Y361" s="12"/>
      <c r="Z361" s="12"/>
    </row>
    <row r="362" spans="1:26" ht="16.350000000000001" customHeight="1" x14ac:dyDescent="0.2">
      <c r="A362" s="12"/>
      <c r="B362" s="12"/>
      <c r="C362" s="12"/>
      <c r="D362" s="12"/>
      <c r="E362" s="12"/>
      <c r="F362" s="7"/>
      <c r="G362" s="7"/>
      <c r="H362" s="12"/>
      <c r="I362" s="12"/>
      <c r="J362" s="12"/>
      <c r="K362" s="12"/>
      <c r="L362" s="12"/>
      <c r="M362" s="12"/>
      <c r="N362" s="12"/>
      <c r="O362" s="12"/>
      <c r="P362" s="12"/>
      <c r="Q362" s="12"/>
      <c r="R362" s="12"/>
      <c r="S362" s="12"/>
      <c r="T362" s="12"/>
      <c r="U362" s="12"/>
      <c r="V362" s="12"/>
      <c r="W362" s="12"/>
      <c r="X362" s="12"/>
      <c r="Y362" s="12"/>
      <c r="Z362" s="12"/>
    </row>
    <row r="363" spans="1:26" ht="16.350000000000001" customHeight="1" x14ac:dyDescent="0.2">
      <c r="A363" s="12"/>
      <c r="B363" s="12"/>
      <c r="C363" s="12"/>
      <c r="D363" s="12"/>
      <c r="E363" s="12"/>
      <c r="F363" s="7"/>
      <c r="G363" s="7"/>
      <c r="H363" s="12"/>
      <c r="I363" s="12"/>
      <c r="J363" s="12"/>
      <c r="K363" s="12"/>
      <c r="L363" s="12"/>
      <c r="M363" s="12"/>
      <c r="N363" s="12"/>
      <c r="O363" s="12"/>
      <c r="P363" s="12"/>
      <c r="Q363" s="12"/>
      <c r="R363" s="12"/>
      <c r="S363" s="12"/>
      <c r="T363" s="12"/>
      <c r="U363" s="12"/>
      <c r="V363" s="12"/>
      <c r="W363" s="12"/>
      <c r="X363" s="12"/>
      <c r="Y363" s="12"/>
      <c r="Z363" s="12"/>
    </row>
    <row r="364" spans="1:26" ht="16.350000000000001" customHeight="1" x14ac:dyDescent="0.2">
      <c r="A364" s="12"/>
      <c r="B364" s="12"/>
      <c r="C364" s="12"/>
      <c r="D364" s="12"/>
      <c r="E364" s="12"/>
      <c r="F364" s="7"/>
      <c r="G364" s="7"/>
      <c r="H364" s="12"/>
      <c r="I364" s="12"/>
      <c r="J364" s="12"/>
      <c r="K364" s="12"/>
      <c r="L364" s="12"/>
      <c r="M364" s="12"/>
      <c r="N364" s="12"/>
      <c r="O364" s="12"/>
      <c r="P364" s="12"/>
      <c r="Q364" s="12"/>
      <c r="R364" s="12"/>
      <c r="S364" s="12"/>
      <c r="T364" s="12"/>
      <c r="U364" s="12"/>
      <c r="V364" s="12"/>
      <c r="W364" s="12"/>
      <c r="X364" s="12"/>
      <c r="Y364" s="12"/>
      <c r="Z364" s="12"/>
    </row>
    <row r="365" spans="1:26" ht="16.350000000000001" customHeight="1" x14ac:dyDescent="0.2">
      <c r="A365" s="12"/>
      <c r="B365" s="12"/>
      <c r="C365" s="12"/>
      <c r="D365" s="12"/>
      <c r="E365" s="12"/>
      <c r="F365" s="7"/>
      <c r="G365" s="7"/>
      <c r="H365" s="12"/>
      <c r="I365" s="12"/>
      <c r="J365" s="12"/>
      <c r="K365" s="12"/>
      <c r="L365" s="12"/>
      <c r="M365" s="12"/>
      <c r="N365" s="12"/>
      <c r="O365" s="12"/>
      <c r="P365" s="12"/>
      <c r="Q365" s="12"/>
      <c r="R365" s="12"/>
      <c r="S365" s="12"/>
      <c r="T365" s="12"/>
      <c r="U365" s="12"/>
      <c r="V365" s="12"/>
      <c r="W365" s="12"/>
      <c r="X365" s="12"/>
      <c r="Y365" s="12"/>
      <c r="Z365" s="12"/>
    </row>
    <row r="366" spans="1:26" ht="16.350000000000001" customHeight="1" x14ac:dyDescent="0.2">
      <c r="A366" s="12"/>
      <c r="B366" s="12"/>
      <c r="C366" s="12"/>
      <c r="D366" s="12"/>
      <c r="E366" s="12"/>
      <c r="F366" s="7"/>
      <c r="G366" s="7"/>
      <c r="H366" s="12"/>
      <c r="I366" s="12"/>
      <c r="J366" s="12"/>
      <c r="K366" s="12"/>
      <c r="L366" s="12"/>
      <c r="M366" s="12"/>
      <c r="N366" s="12"/>
      <c r="O366" s="12"/>
      <c r="P366" s="12"/>
      <c r="Q366" s="12"/>
      <c r="R366" s="12"/>
      <c r="S366" s="12"/>
      <c r="T366" s="12"/>
      <c r="U366" s="12"/>
      <c r="V366" s="12"/>
      <c r="W366" s="12"/>
      <c r="X366" s="12"/>
      <c r="Y366" s="12"/>
      <c r="Z366" s="12"/>
    </row>
    <row r="367" spans="1:26" ht="16.350000000000001" customHeight="1" x14ac:dyDescent="0.2">
      <c r="A367" s="12"/>
      <c r="B367" s="12"/>
      <c r="C367" s="12"/>
      <c r="D367" s="12"/>
      <c r="E367" s="12"/>
      <c r="F367" s="7"/>
      <c r="G367" s="7"/>
      <c r="H367" s="12"/>
      <c r="I367" s="12"/>
      <c r="J367" s="12"/>
      <c r="K367" s="12"/>
      <c r="L367" s="12"/>
      <c r="M367" s="12"/>
      <c r="N367" s="12"/>
      <c r="O367" s="12"/>
      <c r="P367" s="12"/>
      <c r="Q367" s="12"/>
      <c r="R367" s="12"/>
      <c r="S367" s="12"/>
      <c r="T367" s="12"/>
      <c r="U367" s="12"/>
      <c r="V367" s="12"/>
      <c r="W367" s="12"/>
      <c r="X367" s="12"/>
      <c r="Y367" s="12"/>
      <c r="Z367" s="12"/>
    </row>
    <row r="368" spans="1:26" ht="16.350000000000001" customHeight="1" x14ac:dyDescent="0.2">
      <c r="A368" s="12"/>
      <c r="B368" s="12"/>
      <c r="C368" s="12"/>
      <c r="D368" s="12"/>
      <c r="E368" s="12"/>
      <c r="F368" s="7"/>
      <c r="G368" s="7"/>
      <c r="H368" s="12"/>
      <c r="I368" s="12"/>
      <c r="J368" s="12"/>
      <c r="K368" s="12"/>
      <c r="L368" s="12"/>
      <c r="M368" s="12"/>
      <c r="N368" s="12"/>
      <c r="O368" s="12"/>
      <c r="P368" s="12"/>
      <c r="Q368" s="12"/>
      <c r="R368" s="12"/>
      <c r="S368" s="12"/>
      <c r="T368" s="12"/>
      <c r="U368" s="12"/>
      <c r="V368" s="12"/>
      <c r="W368" s="12"/>
      <c r="X368" s="12"/>
      <c r="Y368" s="12"/>
      <c r="Z368" s="12"/>
    </row>
    <row r="369" spans="1:26" ht="16.350000000000001" customHeight="1" x14ac:dyDescent="0.2">
      <c r="A369" s="12"/>
      <c r="B369" s="12"/>
      <c r="C369" s="12"/>
      <c r="D369" s="12"/>
      <c r="E369" s="12"/>
      <c r="F369" s="7"/>
      <c r="G369" s="7"/>
      <c r="H369" s="12"/>
      <c r="I369" s="12"/>
      <c r="J369" s="12"/>
      <c r="K369" s="12"/>
      <c r="L369" s="12"/>
      <c r="M369" s="12"/>
      <c r="N369" s="12"/>
      <c r="O369" s="12"/>
      <c r="P369" s="12"/>
      <c r="Q369" s="12"/>
      <c r="R369" s="12"/>
      <c r="S369" s="12"/>
      <c r="T369" s="12"/>
      <c r="U369" s="12"/>
      <c r="V369" s="12"/>
      <c r="W369" s="12"/>
      <c r="X369" s="12"/>
      <c r="Y369" s="12"/>
      <c r="Z369" s="12"/>
    </row>
    <row r="370" spans="1:26" ht="16.350000000000001" customHeight="1" x14ac:dyDescent="0.2">
      <c r="A370" s="12"/>
      <c r="B370" s="12"/>
      <c r="C370" s="12"/>
      <c r="D370" s="12"/>
      <c r="E370" s="12"/>
      <c r="F370" s="7"/>
      <c r="G370" s="7"/>
      <c r="H370" s="12"/>
      <c r="I370" s="12"/>
      <c r="J370" s="12"/>
      <c r="K370" s="12"/>
      <c r="L370" s="12"/>
      <c r="M370" s="12"/>
      <c r="N370" s="12"/>
      <c r="O370" s="12"/>
      <c r="P370" s="12"/>
      <c r="Q370" s="12"/>
      <c r="R370" s="12"/>
      <c r="S370" s="12"/>
      <c r="T370" s="12"/>
      <c r="U370" s="12"/>
      <c r="V370" s="12"/>
      <c r="W370" s="12"/>
      <c r="X370" s="12"/>
      <c r="Y370" s="12"/>
      <c r="Z370" s="12"/>
    </row>
    <row r="371" spans="1:26" ht="16.350000000000001" customHeight="1" x14ac:dyDescent="0.2">
      <c r="A371" s="12"/>
      <c r="B371" s="12"/>
      <c r="C371" s="12"/>
      <c r="D371" s="12"/>
      <c r="E371" s="12"/>
      <c r="F371" s="7"/>
      <c r="G371" s="7"/>
      <c r="H371" s="12"/>
      <c r="I371" s="12"/>
      <c r="J371" s="12"/>
      <c r="K371" s="12"/>
      <c r="L371" s="12"/>
      <c r="M371" s="12"/>
      <c r="N371" s="12"/>
      <c r="O371" s="12"/>
      <c r="P371" s="12"/>
      <c r="Q371" s="12"/>
      <c r="R371" s="12"/>
      <c r="S371" s="12"/>
      <c r="T371" s="12"/>
      <c r="U371" s="12"/>
      <c r="V371" s="12"/>
      <c r="W371" s="12"/>
      <c r="X371" s="12"/>
      <c r="Y371" s="12"/>
      <c r="Z371" s="12"/>
    </row>
    <row r="372" spans="1:26" ht="16.350000000000001" customHeight="1" x14ac:dyDescent="0.2">
      <c r="A372" s="12"/>
      <c r="B372" s="12"/>
      <c r="C372" s="12"/>
      <c r="D372" s="12"/>
      <c r="E372" s="12"/>
      <c r="F372" s="7"/>
      <c r="G372" s="7"/>
      <c r="H372" s="12"/>
      <c r="I372" s="12"/>
      <c r="J372" s="12"/>
      <c r="K372" s="12"/>
      <c r="L372" s="12"/>
      <c r="M372" s="12"/>
      <c r="N372" s="12"/>
      <c r="O372" s="12"/>
      <c r="P372" s="12"/>
      <c r="Q372" s="12"/>
      <c r="R372" s="12"/>
      <c r="S372" s="12"/>
      <c r="T372" s="12"/>
      <c r="U372" s="12"/>
      <c r="V372" s="12"/>
      <c r="W372" s="12"/>
      <c r="X372" s="12"/>
      <c r="Y372" s="12"/>
      <c r="Z372" s="12"/>
    </row>
    <row r="373" spans="1:26" ht="16.350000000000001" customHeight="1" x14ac:dyDescent="0.2">
      <c r="A373" s="12"/>
      <c r="B373" s="12"/>
      <c r="C373" s="12"/>
      <c r="D373" s="12"/>
      <c r="E373" s="12"/>
      <c r="F373" s="7"/>
      <c r="G373" s="7"/>
      <c r="H373" s="12"/>
      <c r="I373" s="12"/>
      <c r="J373" s="12"/>
      <c r="K373" s="12"/>
      <c r="L373" s="12"/>
      <c r="M373" s="12"/>
      <c r="N373" s="12"/>
      <c r="O373" s="12"/>
      <c r="P373" s="12"/>
      <c r="Q373" s="12"/>
      <c r="R373" s="12"/>
      <c r="S373" s="12"/>
      <c r="T373" s="12"/>
      <c r="U373" s="12"/>
      <c r="V373" s="12"/>
      <c r="W373" s="12"/>
      <c r="X373" s="12"/>
      <c r="Y373" s="12"/>
      <c r="Z373" s="12"/>
    </row>
    <row r="374" spans="1:26" ht="16.350000000000001" customHeight="1" x14ac:dyDescent="0.2">
      <c r="A374" s="12"/>
      <c r="B374" s="12"/>
      <c r="C374" s="12"/>
      <c r="D374" s="12"/>
      <c r="E374" s="12"/>
      <c r="F374" s="7"/>
      <c r="G374" s="7"/>
      <c r="H374" s="12"/>
      <c r="I374" s="12"/>
      <c r="J374" s="12"/>
      <c r="K374" s="12"/>
      <c r="L374" s="12"/>
      <c r="M374" s="12"/>
      <c r="N374" s="12"/>
      <c r="O374" s="12"/>
      <c r="P374" s="12"/>
      <c r="Q374" s="12"/>
      <c r="R374" s="12"/>
      <c r="S374" s="12"/>
      <c r="T374" s="12"/>
      <c r="U374" s="12"/>
      <c r="V374" s="12"/>
      <c r="W374" s="12"/>
      <c r="X374" s="12"/>
      <c r="Y374" s="12"/>
      <c r="Z374" s="12"/>
    </row>
    <row r="375" spans="1:26" ht="16.350000000000001" customHeight="1" x14ac:dyDescent="0.2">
      <c r="A375" s="12"/>
      <c r="B375" s="12"/>
      <c r="C375" s="12"/>
      <c r="D375" s="12"/>
      <c r="E375" s="12"/>
      <c r="F375" s="7"/>
      <c r="G375" s="7"/>
      <c r="H375" s="12"/>
      <c r="I375" s="12"/>
      <c r="J375" s="12"/>
      <c r="K375" s="12"/>
      <c r="L375" s="12"/>
      <c r="M375" s="12"/>
      <c r="N375" s="12"/>
      <c r="O375" s="12"/>
      <c r="P375" s="12"/>
      <c r="Q375" s="12"/>
      <c r="R375" s="12"/>
      <c r="S375" s="12"/>
      <c r="T375" s="12"/>
      <c r="U375" s="12"/>
      <c r="V375" s="12"/>
      <c r="W375" s="12"/>
      <c r="X375" s="12"/>
      <c r="Y375" s="12"/>
      <c r="Z375" s="12"/>
    </row>
  </sheetData>
  <sheetProtection selectLockedCells="1" sort="0" autoFilter="0" pivotTables="0" selectUnlockedCells="1"/>
  <protectedRanges>
    <protectedRange sqref="A3:J9922" name="Range1"/>
  </protectedRanges>
  <dataConsolidate/>
  <mergeCells count="1">
    <mergeCell ref="A1:I1"/>
  </mergeCells>
  <phoneticPr fontId="0" type="noConversion"/>
  <conditionalFormatting sqref="G3:G999">
    <cfRule type="cellIs" dxfId="31" priority="4" stopIfTrue="1" operator="greaterThan">
      <formula>$J$1</formula>
    </cfRule>
    <cfRule type="cellIs" dxfId="30" priority="3" stopIfTrue="1" operator="lessThan">
      <formula>$J$1</formula>
    </cfRule>
    <cfRule type="containsBlanks" priority="2" stopIfTrue="1">
      <formula>LEN(TRIM(G3))=0</formula>
    </cfRule>
  </conditionalFormatting>
  <printOptions horizontalCentered="1"/>
  <pageMargins left="0" right="0" top="0" bottom="0" header="0" footer="0"/>
  <pageSetup scale="90" fitToHeight="0" orientation="landscape" r:id="rId1"/>
  <headerFooter alignWithMargins="0"/>
  <customProperties>
    <customPr name="PolyworksSheet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9822" r:id="rId5" name="Button 127262">
              <controlPr defaultSize="0" print="0" autoFill="0" autoPict="0" macro="[0]!Button_Click">
                <anchor moveWithCells="1" sizeWithCells="1">
                  <from>
                    <xdr:col>0</xdr:col>
                    <xdr:colOff>66675</xdr:colOff>
                    <xdr:row>0</xdr:row>
                    <xdr:rowOff>47625</xdr:rowOff>
                  </from>
                  <to>
                    <xdr:col>0</xdr:col>
                    <xdr:colOff>600075</xdr:colOff>
                    <xdr:row>0</xdr:row>
                    <xdr:rowOff>552450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57C38F-F210-40FB-9F9F-DEAE4740D4DF}">
  <sheetPr codeName="Sheet2"/>
  <dimension ref="A1:B3"/>
  <sheetViews>
    <sheetView workbookViewId="0">
      <selection activeCell="A3" sqref="A3"/>
    </sheetView>
  </sheetViews>
  <sheetFormatPr defaultRowHeight="12.75" x14ac:dyDescent="0.2"/>
  <cols>
    <col min="1" max="1" width="10.42578125" bestFit="1" customWidth="1"/>
    <col min="2" max="2" width="10.140625" bestFit="1" customWidth="1"/>
  </cols>
  <sheetData>
    <row r="1" spans="1:2" x14ac:dyDescent="0.2">
      <c r="A1" s="21" t="s">
        <v>885</v>
      </c>
      <c r="B1" s="21" t="s">
        <v>886</v>
      </c>
    </row>
    <row r="2" spans="1:2" x14ac:dyDescent="0.2">
      <c r="A2" s="21" t="s">
        <v>888</v>
      </c>
      <c r="B2" s="21" t="s">
        <v>889</v>
      </c>
    </row>
    <row r="3" spans="1:2" x14ac:dyDescent="0.2">
      <c r="A3" s="21"/>
      <c r="B3" s="21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ReportLoop>
  <AddInVersion year="21" major="3" minor="0" build="3029"/>
  <DataVersion major="1" minor="0"> </DataVersion>
  <Snapshots>
    <Version>1</Version>
  </Snapshots>
  <ProjectData>
    <Version/>
    <Workspaces/>
  </ProjectData>
</ReportLoop>
</file>

<file path=customXml/itemProps1.xml><?xml version="1.0" encoding="utf-8"?>
<ds:datastoreItem xmlns:ds="http://schemas.openxmlformats.org/officeDocument/2006/customXml" ds:itemID="{2FC21E2E-6811-4F03-8799-7C1BE882B070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Login</vt:lpstr>
      <vt:lpstr>CreatedByAlexFare</vt:lpstr>
      <vt:lpstr>Credentials</vt:lpstr>
      <vt:lpstr>inputPassword</vt:lpstr>
      <vt:lpstr>inputUsername</vt:lpstr>
      <vt:lpstr>Password</vt:lpstr>
      <vt:lpstr>CreatedByAlexFare!Print_Area</vt:lpstr>
    </vt:vector>
  </TitlesOfParts>
  <Company>Dell Computer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Gage Calibration Tracker</dc:title>
  <dc:creator>alex@envisionengineering.com</dc:creator>
  <cp:keywords>Gage Calibration Tracker</cp:keywords>
  <cp:lastModifiedBy>Alex Fare</cp:lastModifiedBy>
  <cp:lastPrinted>2022-12-02T13:32:51Z</cp:lastPrinted>
  <dcterms:created xsi:type="dcterms:W3CDTF">2000-05-08T13:10:20Z</dcterms:created>
  <dcterms:modified xsi:type="dcterms:W3CDTF">2022-12-12T12:43:38Z</dcterms:modified>
</cp:coreProperties>
</file>