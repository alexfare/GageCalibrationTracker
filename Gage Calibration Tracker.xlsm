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272F5791-72B6-4D15-AE0F-6DD32889C9DB}" xr6:coauthVersionLast="47" xr6:coauthVersionMax="47" xr10:uidLastSave="{00000000-0000-0000-0000-000000000000}"/>
  <bookViews>
    <workbookView showSheetTabs="0" xWindow="28680" yWindow="-120" windowWidth="29040" windowHeight="158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CreatedByAlexFare!$Z$2:$AJ$247</definedName>
    <definedName name="_xlnm.Print_Area" localSheetId="1">CreatedByAlexFare!$A$2:$G$248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117" i="13"/>
  <c r="M211" i="13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78" i="13"/>
  <c r="N193" i="13"/>
  <c r="O82" i="13"/>
  <c r="N195" i="13"/>
  <c r="N99" i="13"/>
  <c r="N105" i="13"/>
  <c r="N107" i="13"/>
  <c r="G77" i="13"/>
  <c r="N192" i="13" s="1"/>
  <c r="N194" i="13"/>
  <c r="N93" i="13"/>
  <c r="N106" i="13"/>
  <c r="G76" i="13"/>
  <c r="M191" i="13" s="1"/>
  <c r="O191" i="13"/>
  <c r="O80" i="13"/>
  <c r="O92" i="13"/>
  <c r="M97" i="13"/>
  <c r="O103" i="13"/>
  <c r="G75" i="13"/>
  <c r="O189" i="13" s="1"/>
  <c r="M84" i="13"/>
  <c r="O91" i="13"/>
  <c r="O96" i="13"/>
  <c r="M102" i="13"/>
  <c r="G74" i="13"/>
  <c r="O188" i="13"/>
  <c r="N90" i="13"/>
  <c r="G73" i="13"/>
  <c r="N187" i="13"/>
  <c r="N77" i="13"/>
  <c r="M190" i="13"/>
  <c r="M89" i="13"/>
  <c r="G64" i="13"/>
  <c r="O186" i="13"/>
  <c r="G63" i="13"/>
  <c r="O185" i="13" s="1"/>
  <c r="M83" i="13"/>
  <c r="M153" i="13"/>
  <c r="O155" i="13"/>
  <c r="G51" i="13"/>
  <c r="M51" i="13" s="1"/>
  <c r="O56" i="13"/>
  <c r="N67" i="13"/>
  <c r="G69" i="13"/>
  <c r="N69" i="13" s="1"/>
  <c r="M184" i="13"/>
  <c r="N73" i="13"/>
  <c r="O88" i="13"/>
  <c r="G44" i="13"/>
  <c r="O183" i="13" s="1"/>
  <c r="M48" i="13"/>
  <c r="O53" i="13"/>
  <c r="G43" i="13"/>
  <c r="O182" i="13"/>
  <c r="O47" i="13"/>
  <c r="N52" i="13"/>
  <c r="G42" i="13"/>
  <c r="M181" i="13"/>
  <c r="O46" i="13"/>
  <c r="O62" i="13"/>
  <c r="G33" i="13"/>
  <c r="O180" i="13" s="1"/>
  <c r="N180" i="13"/>
  <c r="M37" i="13"/>
  <c r="M123" i="13"/>
  <c r="G32" i="13"/>
  <c r="M179" i="13"/>
  <c r="M36" i="13"/>
  <c r="G31" i="13"/>
  <c r="M178" i="13" s="1"/>
  <c r="O178" i="13"/>
  <c r="G30" i="13"/>
  <c r="O177" i="13" s="1"/>
  <c r="G41" i="13"/>
  <c r="N41" i="13" s="1"/>
  <c r="N175" i="13"/>
  <c r="M50" i="13"/>
  <c r="G39" i="13"/>
  <c r="N174" i="13" s="1"/>
  <c r="M174" i="13"/>
  <c r="M49" i="13"/>
  <c r="G25" i="13"/>
  <c r="O25" i="13" s="1"/>
  <c r="N172" i="13"/>
  <c r="M34" i="13"/>
  <c r="G57" i="13"/>
  <c r="N171" i="13" s="1"/>
  <c r="M61" i="13"/>
  <c r="G56" i="13"/>
  <c r="O170" i="13"/>
  <c r="N60" i="13"/>
  <c r="O173" i="13"/>
  <c r="O65" i="13"/>
  <c r="N17" i="13"/>
  <c r="G62" i="13"/>
  <c r="O168" i="13" s="1"/>
  <c r="O66" i="13"/>
  <c r="O71" i="13"/>
  <c r="N169" i="13"/>
  <c r="M12" i="13"/>
  <c r="O24" i="13"/>
  <c r="M4" i="13"/>
  <c r="N167" i="13"/>
  <c r="G7" i="13"/>
  <c r="M163" i="13"/>
  <c r="N13" i="13"/>
  <c r="O166" i="13"/>
  <c r="O18" i="13"/>
  <c r="O26" i="13"/>
  <c r="O164" i="13"/>
  <c r="O162" i="13"/>
  <c r="N161" i="13"/>
  <c r="O160" i="13"/>
  <c r="O159" i="13"/>
  <c r="N157" i="13"/>
  <c r="G38" i="13"/>
  <c r="O148" i="13" s="1"/>
  <c r="N148" i="13"/>
  <c r="O43" i="13"/>
  <c r="O152" i="13"/>
  <c r="G59" i="13"/>
  <c r="O147" i="13"/>
  <c r="O151" i="13"/>
  <c r="N79" i="13"/>
  <c r="G29" i="13"/>
  <c r="O146" i="13" s="1"/>
  <c r="N146" i="13"/>
  <c r="O33" i="13"/>
  <c r="M150" i="13"/>
  <c r="G28" i="13"/>
  <c r="N28" i="13" s="1"/>
  <c r="P28" i="13" s="1"/>
  <c r="O145" i="13"/>
  <c r="M149" i="13"/>
  <c r="G27" i="13"/>
  <c r="N27" i="13" s="1"/>
  <c r="P27" i="13" s="1"/>
  <c r="M144" i="13"/>
  <c r="M143" i="13"/>
  <c r="M142" i="13"/>
  <c r="G24" i="13"/>
  <c r="N136" i="13"/>
  <c r="O141" i="13"/>
  <c r="N40" i="13"/>
  <c r="G23" i="13"/>
  <c r="M135" i="13" s="1"/>
  <c r="M140" i="13"/>
  <c r="M139" i="13"/>
  <c r="O138" i="13"/>
  <c r="G55" i="13"/>
  <c r="N131" i="13"/>
  <c r="O64" i="13"/>
  <c r="M117" i="13"/>
  <c r="M10" i="13"/>
  <c r="M134" i="13"/>
  <c r="N22" i="13"/>
  <c r="G54" i="13"/>
  <c r="O130" i="13"/>
  <c r="M133" i="13"/>
  <c r="M63" i="13"/>
  <c r="O70" i="13"/>
  <c r="M81" i="13"/>
  <c r="M129" i="13"/>
  <c r="N9" i="13"/>
  <c r="N128" i="13"/>
  <c r="O8" i="13"/>
  <c r="O127" i="13"/>
  <c r="O11" i="13"/>
  <c r="N30" i="13"/>
  <c r="U368" i="13"/>
  <c r="T368" i="13"/>
  <c r="S368" i="13"/>
  <c r="O368" i="13"/>
  <c r="N368" i="13"/>
  <c r="P368" i="13" s="1"/>
  <c r="M368" i="13"/>
  <c r="U367" i="13"/>
  <c r="T367" i="13"/>
  <c r="S367" i="13"/>
  <c r="O367" i="13"/>
  <c r="N367" i="13"/>
  <c r="M367" i="13"/>
  <c r="U366" i="13"/>
  <c r="T366" i="13"/>
  <c r="S366" i="13"/>
  <c r="O366" i="13"/>
  <c r="N366" i="13"/>
  <c r="M366" i="13"/>
  <c r="U365" i="13"/>
  <c r="T365" i="13"/>
  <c r="S365" i="13"/>
  <c r="O365" i="13"/>
  <c r="N365" i="13"/>
  <c r="M365" i="13"/>
  <c r="U364" i="13"/>
  <c r="T364" i="13"/>
  <c r="S364" i="13"/>
  <c r="O364" i="13"/>
  <c r="N364" i="13"/>
  <c r="P364" i="13" s="1"/>
  <c r="M364" i="13"/>
  <c r="U363" i="13"/>
  <c r="T363" i="13"/>
  <c r="S363" i="13"/>
  <c r="O363" i="13"/>
  <c r="N363" i="13"/>
  <c r="M363" i="13"/>
  <c r="P363" i="13"/>
  <c r="U362" i="13"/>
  <c r="T362" i="13"/>
  <c r="S362" i="13"/>
  <c r="O362" i="13"/>
  <c r="N362" i="13"/>
  <c r="P362" i="13" s="1"/>
  <c r="M362" i="13"/>
  <c r="U361" i="13"/>
  <c r="T361" i="13"/>
  <c r="S361" i="13"/>
  <c r="O361" i="13"/>
  <c r="N361" i="13"/>
  <c r="M361" i="13"/>
  <c r="U360" i="13"/>
  <c r="T360" i="13"/>
  <c r="S360" i="13"/>
  <c r="O360" i="13"/>
  <c r="P360" i="13" s="1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P358" i="13" s="1"/>
  <c r="M358" i="13"/>
  <c r="U357" i="13"/>
  <c r="T357" i="13"/>
  <c r="S357" i="13"/>
  <c r="O357" i="13"/>
  <c r="N357" i="13"/>
  <c r="M357" i="13"/>
  <c r="U356" i="13"/>
  <c r="T356" i="13"/>
  <c r="S356" i="13"/>
  <c r="O356" i="13"/>
  <c r="P356" i="13" s="1"/>
  <c r="N356" i="13"/>
  <c r="M356" i="13"/>
  <c r="U355" i="13"/>
  <c r="T355" i="13"/>
  <c r="S355" i="13"/>
  <c r="O355" i="13"/>
  <c r="N355" i="13"/>
  <c r="M355" i="13"/>
  <c r="P355" i="13" s="1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P351" i="13" s="1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P347" i="13" s="1"/>
  <c r="M347" i="13"/>
  <c r="U346" i="13"/>
  <c r="T346" i="13"/>
  <c r="S346" i="13"/>
  <c r="O346" i="13"/>
  <c r="N346" i="13"/>
  <c r="M346" i="13"/>
  <c r="P346" i="13"/>
  <c r="U345" i="13"/>
  <c r="T345" i="13"/>
  <c r="S345" i="13"/>
  <c r="O345" i="13"/>
  <c r="N345" i="13"/>
  <c r="P345" i="13" s="1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P342" i="13" s="1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P340" i="13" s="1"/>
  <c r="U339" i="13"/>
  <c r="T339" i="13"/>
  <c r="S339" i="13"/>
  <c r="O339" i="13"/>
  <c r="N339" i="13"/>
  <c r="M339" i="13"/>
  <c r="U338" i="13"/>
  <c r="T338" i="13"/>
  <c r="S338" i="13"/>
  <c r="O338" i="13"/>
  <c r="N338" i="13"/>
  <c r="P338" i="13" s="1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P336" i="13" s="1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P334" i="13" s="1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P332" i="13" s="1"/>
  <c r="U331" i="13"/>
  <c r="T331" i="13"/>
  <c r="S331" i="13"/>
  <c r="O331" i="13"/>
  <c r="N331" i="13"/>
  <c r="P331" i="13" s="1"/>
  <c r="M331" i="13"/>
  <c r="U330" i="13"/>
  <c r="T330" i="13"/>
  <c r="S330" i="13"/>
  <c r="O330" i="13"/>
  <c r="N330" i="13"/>
  <c r="M330" i="13"/>
  <c r="U329" i="13"/>
  <c r="T329" i="13"/>
  <c r="S329" i="13"/>
  <c r="O329" i="13"/>
  <c r="P329" i="13" s="1"/>
  <c r="N329" i="13"/>
  <c r="M329" i="13"/>
  <c r="U328" i="13"/>
  <c r="T328" i="13"/>
  <c r="S328" i="13"/>
  <c r="O328" i="13"/>
  <c r="N328" i="13"/>
  <c r="M328" i="13"/>
  <c r="P328" i="13" s="1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P325" i="13" s="1"/>
  <c r="N325" i="13"/>
  <c r="M325" i="13"/>
  <c r="U324" i="13"/>
  <c r="T324" i="13"/>
  <c r="S324" i="13"/>
  <c r="O324" i="13"/>
  <c r="N324" i="13"/>
  <c r="P324" i="13"/>
  <c r="M324" i="13"/>
  <c r="U323" i="13"/>
  <c r="T323" i="13"/>
  <c r="S323" i="13"/>
  <c r="O323" i="13"/>
  <c r="N323" i="13"/>
  <c r="M323" i="13"/>
  <c r="P323" i="13" s="1"/>
  <c r="U322" i="13"/>
  <c r="T322" i="13"/>
  <c r="S322" i="13"/>
  <c r="O322" i="13"/>
  <c r="N322" i="13"/>
  <c r="M322" i="13"/>
  <c r="P322" i="13" s="1"/>
  <c r="U321" i="13"/>
  <c r="T321" i="13"/>
  <c r="S321" i="13"/>
  <c r="O321" i="13"/>
  <c r="N321" i="13"/>
  <c r="M321" i="13"/>
  <c r="U320" i="13"/>
  <c r="T320" i="13"/>
  <c r="S320" i="13"/>
  <c r="O320" i="13"/>
  <c r="N320" i="13"/>
  <c r="P320" i="13" s="1"/>
  <c r="M320" i="13"/>
  <c r="U319" i="13"/>
  <c r="T319" i="13"/>
  <c r="S319" i="13"/>
  <c r="O319" i="13"/>
  <c r="N319" i="13"/>
  <c r="M319" i="13"/>
  <c r="P319" i="13" s="1"/>
  <c r="U318" i="13"/>
  <c r="T318" i="13"/>
  <c r="S318" i="13"/>
  <c r="O318" i="13"/>
  <c r="N318" i="13"/>
  <c r="M318" i="13"/>
  <c r="P318" i="13" s="1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P314" i="13" s="1"/>
  <c r="U313" i="13"/>
  <c r="T313" i="13"/>
  <c r="S313" i="13"/>
  <c r="O313" i="13"/>
  <c r="N313" i="13"/>
  <c r="M313" i="13"/>
  <c r="U312" i="13"/>
  <c r="T312" i="13"/>
  <c r="S312" i="13"/>
  <c r="O312" i="13"/>
  <c r="N312" i="13"/>
  <c r="P312" i="13" s="1"/>
  <c r="M312" i="13"/>
  <c r="U311" i="13"/>
  <c r="T311" i="13"/>
  <c r="S311" i="13"/>
  <c r="O311" i="13"/>
  <c r="N311" i="13"/>
  <c r="M311" i="13"/>
  <c r="P311" i="13" s="1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P308" i="13" s="1"/>
  <c r="M308" i="13"/>
  <c r="U307" i="13"/>
  <c r="T307" i="13"/>
  <c r="S307" i="13"/>
  <c r="O307" i="13"/>
  <c r="N307" i="13"/>
  <c r="M307" i="13"/>
  <c r="P307" i="13" s="1"/>
  <c r="U306" i="13"/>
  <c r="T306" i="13"/>
  <c r="S306" i="13"/>
  <c r="O306" i="13"/>
  <c r="N306" i="13"/>
  <c r="M306" i="13"/>
  <c r="P306" i="13" s="1"/>
  <c r="U305" i="13"/>
  <c r="T305" i="13"/>
  <c r="S305" i="13"/>
  <c r="O305" i="13"/>
  <c r="N305" i="13"/>
  <c r="M305" i="13"/>
  <c r="U304" i="13"/>
  <c r="T304" i="13"/>
  <c r="S304" i="13"/>
  <c r="O304" i="13"/>
  <c r="P304" i="13" s="1"/>
  <c r="N304" i="13"/>
  <c r="M304" i="13"/>
  <c r="U303" i="13"/>
  <c r="T303" i="13"/>
  <c r="S303" i="13"/>
  <c r="O303" i="13"/>
  <c r="N303" i="13"/>
  <c r="M303" i="13"/>
  <c r="P303" i="13" s="1"/>
  <c r="U302" i="13"/>
  <c r="T302" i="13"/>
  <c r="S302" i="13"/>
  <c r="O302" i="13"/>
  <c r="N302" i="13"/>
  <c r="M302" i="13"/>
  <c r="P302" i="13"/>
  <c r="U301" i="13"/>
  <c r="T301" i="13"/>
  <c r="S301" i="13"/>
  <c r="O301" i="13"/>
  <c r="N301" i="13"/>
  <c r="M301" i="13"/>
  <c r="P301" i="13" s="1"/>
  <c r="U300" i="13"/>
  <c r="T300" i="13"/>
  <c r="S300" i="13"/>
  <c r="O300" i="13"/>
  <c r="N300" i="13"/>
  <c r="M300" i="13"/>
  <c r="U299" i="13"/>
  <c r="T299" i="13"/>
  <c r="S299" i="13"/>
  <c r="O299" i="13"/>
  <c r="N299" i="13"/>
  <c r="P299" i="13" s="1"/>
  <c r="M299" i="13"/>
  <c r="U298" i="13"/>
  <c r="T298" i="13"/>
  <c r="S298" i="13"/>
  <c r="O298" i="13"/>
  <c r="N298" i="13"/>
  <c r="M298" i="13"/>
  <c r="P298" i="13"/>
  <c r="U297" i="13"/>
  <c r="T297" i="13"/>
  <c r="S297" i="13"/>
  <c r="O297" i="13"/>
  <c r="N297" i="13"/>
  <c r="P297" i="13" s="1"/>
  <c r="M297" i="13"/>
  <c r="U296" i="13"/>
  <c r="T296" i="13"/>
  <c r="S296" i="13"/>
  <c r="O296" i="13"/>
  <c r="N296" i="13"/>
  <c r="M296" i="13"/>
  <c r="P296" i="13" s="1"/>
  <c r="U295" i="13"/>
  <c r="T295" i="13"/>
  <c r="S295" i="13"/>
  <c r="O295" i="13"/>
  <c r="N295" i="13"/>
  <c r="M295" i="13"/>
  <c r="U294" i="13"/>
  <c r="T294" i="13"/>
  <c r="S294" i="13"/>
  <c r="O294" i="13"/>
  <c r="N294" i="13"/>
  <c r="P294" i="13" s="1"/>
  <c r="M294" i="13"/>
  <c r="U293" i="13"/>
  <c r="T293" i="13"/>
  <c r="S293" i="13"/>
  <c r="O293" i="13"/>
  <c r="N293" i="13"/>
  <c r="M293" i="13"/>
  <c r="P293" i="13" s="1"/>
  <c r="U292" i="13"/>
  <c r="T292" i="13"/>
  <c r="S292" i="13"/>
  <c r="O292" i="13"/>
  <c r="N292" i="13"/>
  <c r="M292" i="13"/>
  <c r="P292" i="13" s="1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P290" i="13" s="1"/>
  <c r="U289" i="13"/>
  <c r="T289" i="13"/>
  <c r="S289" i="13"/>
  <c r="O289" i="13"/>
  <c r="N289" i="13"/>
  <c r="M289" i="13"/>
  <c r="P289" i="13" s="1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P286" i="13" s="1"/>
  <c r="N286" i="13"/>
  <c r="M286" i="13"/>
  <c r="U285" i="13"/>
  <c r="T285" i="13"/>
  <c r="S285" i="13"/>
  <c r="O285" i="13"/>
  <c r="N285" i="13"/>
  <c r="M285" i="13"/>
  <c r="P285" i="13" s="1"/>
  <c r="U284" i="13"/>
  <c r="T284" i="13"/>
  <c r="S284" i="13"/>
  <c r="O284" i="13"/>
  <c r="N284" i="13"/>
  <c r="P284" i="13" s="1"/>
  <c r="M284" i="13"/>
  <c r="U283" i="13"/>
  <c r="T283" i="13"/>
  <c r="S283" i="13"/>
  <c r="O283" i="13"/>
  <c r="N283" i="13"/>
  <c r="M283" i="13"/>
  <c r="U282" i="13"/>
  <c r="T282" i="13"/>
  <c r="S282" i="13"/>
  <c r="O282" i="13"/>
  <c r="P282" i="13" s="1"/>
  <c r="N282" i="13"/>
  <c r="M282" i="13"/>
  <c r="U281" i="13"/>
  <c r="T281" i="13"/>
  <c r="S281" i="13"/>
  <c r="O281" i="13"/>
  <c r="N281" i="13"/>
  <c r="M281" i="13"/>
  <c r="P281" i="13" s="1"/>
  <c r="U280" i="13"/>
  <c r="T280" i="13"/>
  <c r="S280" i="13"/>
  <c r="O280" i="13"/>
  <c r="N280" i="13"/>
  <c r="P280" i="13" s="1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P278" i="13" s="1"/>
  <c r="M278" i="13"/>
  <c r="U277" i="13"/>
  <c r="T277" i="13"/>
  <c r="S277" i="13"/>
  <c r="O277" i="13"/>
  <c r="N277" i="13"/>
  <c r="P277" i="13" s="1"/>
  <c r="M277" i="13"/>
  <c r="U276" i="13"/>
  <c r="T276" i="13"/>
  <c r="S276" i="13"/>
  <c r="O276" i="13"/>
  <c r="N276" i="13"/>
  <c r="M276" i="13"/>
  <c r="P276" i="13" s="1"/>
  <c r="U275" i="13"/>
  <c r="T275" i="13"/>
  <c r="S275" i="13"/>
  <c r="O275" i="13"/>
  <c r="N275" i="13"/>
  <c r="M275" i="13"/>
  <c r="P275" i="13" s="1"/>
  <c r="U274" i="13"/>
  <c r="T274" i="13"/>
  <c r="S274" i="13"/>
  <c r="O274" i="13"/>
  <c r="N274" i="13"/>
  <c r="M274" i="13"/>
  <c r="U273" i="13"/>
  <c r="T273" i="13"/>
  <c r="S273" i="13"/>
  <c r="O273" i="13"/>
  <c r="N273" i="13"/>
  <c r="P273" i="13" s="1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P271" i="13" s="1"/>
  <c r="U270" i="13"/>
  <c r="T270" i="13"/>
  <c r="S270" i="13"/>
  <c r="O270" i="13"/>
  <c r="N270" i="13"/>
  <c r="M270" i="13"/>
  <c r="U269" i="13"/>
  <c r="T269" i="13"/>
  <c r="S269" i="13"/>
  <c r="O269" i="13"/>
  <c r="N269" i="13"/>
  <c r="P269" i="13" s="1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P267" i="13" s="1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P265" i="13" s="1"/>
  <c r="U264" i="13"/>
  <c r="T264" i="13"/>
  <c r="S264" i="13"/>
  <c r="O264" i="13"/>
  <c r="N264" i="13"/>
  <c r="P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P262" i="13" s="1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P259" i="13" s="1"/>
  <c r="U258" i="13"/>
  <c r="T258" i="13"/>
  <c r="S258" i="13"/>
  <c r="O258" i="13"/>
  <c r="N258" i="13"/>
  <c r="M258" i="13"/>
  <c r="P258" i="13" s="1"/>
  <c r="U257" i="13"/>
  <c r="T257" i="13"/>
  <c r="S257" i="13"/>
  <c r="O257" i="13"/>
  <c r="N257" i="13"/>
  <c r="M257" i="13"/>
  <c r="U256" i="13"/>
  <c r="T256" i="13"/>
  <c r="S256" i="13"/>
  <c r="O256" i="13"/>
  <c r="P256" i="13" s="1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P252" i="13" s="1"/>
  <c r="U251" i="13"/>
  <c r="T251" i="13"/>
  <c r="S251" i="13"/>
  <c r="O251" i="13"/>
  <c r="N251" i="13"/>
  <c r="P251" i="13" s="1"/>
  <c r="M251" i="13"/>
  <c r="U250" i="13"/>
  <c r="T250" i="13"/>
  <c r="S250" i="13"/>
  <c r="O250" i="13"/>
  <c r="N250" i="13"/>
  <c r="M250" i="13"/>
  <c r="P250" i="13" s="1"/>
  <c r="U249" i="13"/>
  <c r="T249" i="13"/>
  <c r="S249" i="13"/>
  <c r="O249" i="13"/>
  <c r="N249" i="13"/>
  <c r="M249" i="13"/>
  <c r="P249" i="13" s="1"/>
  <c r="U247" i="13"/>
  <c r="T247" i="13"/>
  <c r="S247" i="13"/>
  <c r="O247" i="13"/>
  <c r="N247" i="13"/>
  <c r="M247" i="13"/>
  <c r="P247" i="13" s="1"/>
  <c r="U246" i="13"/>
  <c r="T246" i="13"/>
  <c r="S246" i="13"/>
  <c r="O246" i="13"/>
  <c r="N246" i="13"/>
  <c r="M246" i="13"/>
  <c r="P246" i="13" s="1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P243" i="13" s="1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P239" i="13" s="1"/>
  <c r="U238" i="13"/>
  <c r="T238" i="13"/>
  <c r="S238" i="13"/>
  <c r="O238" i="13"/>
  <c r="N238" i="13"/>
  <c r="M238" i="13"/>
  <c r="P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P232" i="13" s="1"/>
  <c r="U231" i="13"/>
  <c r="T231" i="13"/>
  <c r="S231" i="13"/>
  <c r="O231" i="13"/>
  <c r="N231" i="13"/>
  <c r="M231" i="13"/>
  <c r="P231" i="13" s="1"/>
  <c r="U230" i="13"/>
  <c r="T230" i="13"/>
  <c r="S230" i="13"/>
  <c r="O230" i="13"/>
  <c r="N230" i="13"/>
  <c r="M230" i="13"/>
  <c r="U229" i="13"/>
  <c r="T229" i="13"/>
  <c r="S229" i="13"/>
  <c r="O229" i="13"/>
  <c r="P229" i="13" s="1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P225" i="13" s="1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P221" i="13" s="1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P219" i="13" s="1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P216" i="13" s="1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P213" i="13" s="1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O55" i="13"/>
  <c r="U54" i="13"/>
  <c r="T54" i="13"/>
  <c r="S54" i="13"/>
  <c r="O54" i="13"/>
  <c r="N54" i="13"/>
  <c r="P54" i="13" s="1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P32" i="13" s="1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P107" i="13" s="1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P199" i="13" s="1"/>
  <c r="N197" i="13"/>
  <c r="O197" i="13"/>
  <c r="M206" i="13"/>
  <c r="M199" i="13"/>
  <c r="N198" i="13"/>
  <c r="M205" i="13"/>
  <c r="N205" i="13"/>
  <c r="O125" i="13"/>
  <c r="N202" i="13"/>
  <c r="P202" i="13" s="1"/>
  <c r="O153" i="13"/>
  <c r="N203" i="13"/>
  <c r="M202" i="13"/>
  <c r="N160" i="13"/>
  <c r="N125" i="13"/>
  <c r="O109" i="13"/>
  <c r="P109" i="13" s="1"/>
  <c r="M87" i="13"/>
  <c r="M113" i="13"/>
  <c r="N87" i="13"/>
  <c r="N113" i="13"/>
  <c r="M215" i="13"/>
  <c r="P215" i="13" s="1"/>
  <c r="N215" i="13"/>
  <c r="N108" i="13"/>
  <c r="N176" i="13"/>
  <c r="P176" i="13" s="1"/>
  <c r="M109" i="13"/>
  <c r="N19" i="13"/>
  <c r="N200" i="13"/>
  <c r="M161" i="13"/>
  <c r="O35" i="13"/>
  <c r="M104" i="13"/>
  <c r="M35" i="13"/>
  <c r="P35" i="13" s="1"/>
  <c r="M78" i="13"/>
  <c r="P78" i="13" s="1"/>
  <c r="N35" i="13"/>
  <c r="O118" i="13"/>
  <c r="N118" i="13"/>
  <c r="M176" i="13"/>
  <c r="N104" i="13"/>
  <c r="N156" i="13"/>
  <c r="O104" i="13"/>
  <c r="P104" i="13" s="1"/>
  <c r="O176" i="13"/>
  <c r="O111" i="13"/>
  <c r="N66" i="13"/>
  <c r="N111" i="13"/>
  <c r="M69" i="13"/>
  <c r="M30" i="13"/>
  <c r="M126" i="13"/>
  <c r="O126" i="13"/>
  <c r="M160" i="13"/>
  <c r="P160" i="13" s="1"/>
  <c r="N207" i="13"/>
  <c r="M207" i="13"/>
  <c r="P207" i="13" s="1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P24" i="13" s="1"/>
  <c r="O107" i="13"/>
  <c r="M55" i="13"/>
  <c r="M25" i="13"/>
  <c r="N25" i="13"/>
  <c r="M66" i="13"/>
  <c r="P66" i="13" s="1"/>
  <c r="O94" i="13"/>
  <c r="M118" i="13"/>
  <c r="P118" i="13" s="1"/>
  <c r="N126" i="13"/>
  <c r="O36" i="13"/>
  <c r="M90" i="13"/>
  <c r="N103" i="13"/>
  <c r="P103" i="13" s="1"/>
  <c r="N100" i="13"/>
  <c r="O90" i="13"/>
  <c r="N55" i="13"/>
  <c r="O120" i="13"/>
  <c r="N6" i="13"/>
  <c r="O32" i="13"/>
  <c r="O203" i="13"/>
  <c r="O202" i="13"/>
  <c r="O87" i="13"/>
  <c r="M125" i="13"/>
  <c r="N124" i="13"/>
  <c r="M159" i="13"/>
  <c r="P159" i="13" s="1"/>
  <c r="N159" i="13"/>
  <c r="M156" i="13"/>
  <c r="O206" i="13"/>
  <c r="O137" i="13"/>
  <c r="N165" i="13"/>
  <c r="O205" i="13"/>
  <c r="O132" i="13"/>
  <c r="M154" i="13"/>
  <c r="M155" i="13"/>
  <c r="P155" i="13" s="1"/>
  <c r="N155" i="13"/>
  <c r="M92" i="13"/>
  <c r="N3" i="13"/>
  <c r="M3" i="13"/>
  <c r="O3" i="13"/>
  <c r="P3" i="13" s="1"/>
  <c r="O156" i="13"/>
  <c r="P156" i="13" s="1"/>
  <c r="O99" i="13"/>
  <c r="M132" i="13"/>
  <c r="N31" i="13"/>
  <c r="M124" i="13"/>
  <c r="N132" i="13"/>
  <c r="N154" i="13"/>
  <c r="O154" i="13"/>
  <c r="O157" i="13"/>
  <c r="M157" i="13"/>
  <c r="P157" i="13" s="1"/>
  <c r="N206" i="13"/>
  <c r="P206" i="13" s="1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39" i="13"/>
  <c r="N153" i="13"/>
  <c r="N137" i="13"/>
  <c r="P137" i="13" s="1"/>
  <c r="O123" i="13"/>
  <c r="O6" i="13"/>
  <c r="O113" i="13"/>
  <c r="M169" i="13"/>
  <c r="O169" i="13"/>
  <c r="P169" i="13" s="1"/>
  <c r="N204" i="13"/>
  <c r="O204" i="13"/>
  <c r="P204" i="13" s="1"/>
  <c r="M204" i="13"/>
  <c r="O161" i="13"/>
  <c r="P161" i="13"/>
  <c r="N164" i="13"/>
  <c r="M164" i="13"/>
  <c r="N210" i="13"/>
  <c r="O210" i="13"/>
  <c r="M210" i="13"/>
  <c r="N143" i="13"/>
  <c r="O144" i="13"/>
  <c r="N209" i="13"/>
  <c r="O209" i="13"/>
  <c r="M209" i="13"/>
  <c r="O143" i="13"/>
  <c r="P143" i="13" s="1"/>
  <c r="N158" i="13"/>
  <c r="M158" i="13"/>
  <c r="O158" i="13"/>
  <c r="N162" i="13"/>
  <c r="M162" i="13"/>
  <c r="M67" i="13"/>
  <c r="M8" i="13"/>
  <c r="N8" i="13"/>
  <c r="P8" i="13" s="1"/>
  <c r="N121" i="13"/>
  <c r="O101" i="13"/>
  <c r="M121" i="13"/>
  <c r="M75" i="13"/>
  <c r="N114" i="13"/>
  <c r="M31" i="13"/>
  <c r="P31" i="13" s="1"/>
  <c r="N129" i="13"/>
  <c r="O129" i="13"/>
  <c r="P129" i="13" s="1"/>
  <c r="M208" i="13"/>
  <c r="N208" i="13"/>
  <c r="M5" i="13"/>
  <c r="M138" i="13"/>
  <c r="N138" i="13"/>
  <c r="O4" i="13"/>
  <c r="O58" i="13"/>
  <c r="N58" i="13"/>
  <c r="N34" i="13"/>
  <c r="O128" i="13"/>
  <c r="P128" i="13" s="1"/>
  <c r="O142" i="13"/>
  <c r="M128" i="13"/>
  <c r="N142" i="13"/>
  <c r="M85" i="13"/>
  <c r="O167" i="13"/>
  <c r="M201" i="13"/>
  <c r="P201" i="13" s="1"/>
  <c r="M167" i="13"/>
  <c r="N139" i="13"/>
  <c r="P139" i="13" s="1"/>
  <c r="M127" i="13"/>
  <c r="O139" i="13"/>
  <c r="M99" i="13"/>
  <c r="M58" i="13"/>
  <c r="N50" i="13"/>
  <c r="M62" i="13"/>
  <c r="P62" i="13" s="1"/>
  <c r="N62" i="13"/>
  <c r="N91" i="13"/>
  <c r="M38" i="13"/>
  <c r="O17" i="13"/>
  <c r="O45" i="13"/>
  <c r="M45" i="13"/>
  <c r="O83" i="13"/>
  <c r="M17" i="13"/>
  <c r="O95" i="13"/>
  <c r="N83" i="13"/>
  <c r="P83" i="13" s="1"/>
  <c r="N95" i="13"/>
  <c r="M103" i="13"/>
  <c r="O34" i="13"/>
  <c r="N98" i="13"/>
  <c r="M70" i="13"/>
  <c r="N70" i="13"/>
  <c r="M98" i="13"/>
  <c r="O98" i="13"/>
  <c r="P98" i="13" s="1"/>
  <c r="N49" i="13"/>
  <c r="P49" i="13" s="1"/>
  <c r="M88" i="13"/>
  <c r="N88" i="13"/>
  <c r="N71" i="13"/>
  <c r="N68" i="13"/>
  <c r="O38" i="13"/>
  <c r="M68" i="13"/>
  <c r="P68" i="13" s="1"/>
  <c r="N21" i="13"/>
  <c r="P21" i="13" s="1"/>
  <c r="M21" i="13"/>
  <c r="O67" i="13"/>
  <c r="P67" i="13" s="1"/>
  <c r="O102" i="13"/>
  <c r="P102" i="13" s="1"/>
  <c r="N102" i="13"/>
  <c r="O57" i="13"/>
  <c r="O106" i="13"/>
  <c r="M57" i="13"/>
  <c r="O72" i="13"/>
  <c r="O21" i="13"/>
  <c r="N45" i="13"/>
  <c r="O68" i="13"/>
  <c r="M72" i="13"/>
  <c r="N72" i="13"/>
  <c r="O69" i="13"/>
  <c r="N56" i="13"/>
  <c r="M18" i="13"/>
  <c r="O89" i="13"/>
  <c r="P89" i="13" s="1"/>
  <c r="N18" i="13"/>
  <c r="O105" i="13"/>
  <c r="N89" i="13"/>
  <c r="M105" i="13"/>
  <c r="O60" i="13"/>
  <c r="N81" i="13"/>
  <c r="M40" i="13"/>
  <c r="P40" i="13" s="1"/>
  <c r="N92" i="13"/>
  <c r="P92" i="13" s="1"/>
  <c r="O22" i="13"/>
  <c r="O40" i="13"/>
  <c r="M22" i="13"/>
  <c r="M60" i="13"/>
  <c r="M41" i="13"/>
  <c r="M56" i="13"/>
  <c r="P56" i="13" s="1"/>
  <c r="M95" i="13"/>
  <c r="P95" i="13" s="1"/>
  <c r="O41" i="13"/>
  <c r="M26" i="13"/>
  <c r="N26" i="13"/>
  <c r="O20" i="13"/>
  <c r="N20" i="13"/>
  <c r="O48" i="13"/>
  <c r="O49" i="13"/>
  <c r="N48" i="13"/>
  <c r="P48" i="13" s="1"/>
  <c r="M43" i="13"/>
  <c r="O23" i="13"/>
  <c r="M27" i="13"/>
  <c r="N23" i="13"/>
  <c r="M79" i="13"/>
  <c r="O79" i="13"/>
  <c r="O12" i="13"/>
  <c r="N82" i="13"/>
  <c r="P82" i="13" s="1"/>
  <c r="N12" i="13"/>
  <c r="O61" i="13"/>
  <c r="M93" i="13"/>
  <c r="N61" i="13"/>
  <c r="P61" i="13" s="1"/>
  <c r="N43" i="13"/>
  <c r="M44" i="13"/>
  <c r="O93" i="13"/>
  <c r="P93" i="13" s="1"/>
  <c r="O9" i="13"/>
  <c r="P9" i="13" s="1"/>
  <c r="O59" i="13"/>
  <c r="N47" i="13"/>
  <c r="M47" i="13"/>
  <c r="N74" i="13"/>
  <c r="N97" i="13"/>
  <c r="M96" i="13"/>
  <c r="P96" i="13"/>
  <c r="M77" i="13"/>
  <c r="P77" i="13" s="1"/>
  <c r="O97" i="13"/>
  <c r="O44" i="13"/>
  <c r="N152" i="13"/>
  <c r="M152" i="13"/>
  <c r="O165" i="13"/>
  <c r="M165" i="13"/>
  <c r="P165" i="13" s="1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53" i="13"/>
  <c r="N63" i="13"/>
  <c r="O63" i="13"/>
  <c r="M11" i="13"/>
  <c r="O50" i="13"/>
  <c r="N11" i="13"/>
  <c r="P11" i="13" s="1"/>
  <c r="M53" i="13"/>
  <c r="P53" i="13" s="1"/>
  <c r="O52" i="13"/>
  <c r="M52" i="13"/>
  <c r="P52" i="13" s="1"/>
  <c r="M39" i="13"/>
  <c r="O73" i="13"/>
  <c r="M73" i="13"/>
  <c r="N150" i="13"/>
  <c r="P150" i="13" s="1"/>
  <c r="O150" i="13"/>
  <c r="O134" i="13"/>
  <c r="N166" i="13"/>
  <c r="M166" i="13"/>
  <c r="P166" i="13" s="1"/>
  <c r="N190" i="13"/>
  <c r="N201" i="13"/>
  <c r="N134" i="13"/>
  <c r="N127" i="13"/>
  <c r="P127" i="13" s="1"/>
  <c r="P300" i="13"/>
  <c r="N141" i="13"/>
  <c r="P263" i="13"/>
  <c r="P315" i="13"/>
  <c r="P321" i="13"/>
  <c r="P310" i="13"/>
  <c r="P361" i="13"/>
  <c r="P365" i="13"/>
  <c r="P327" i="13"/>
  <c r="O190" i="13"/>
  <c r="O195" i="13"/>
  <c r="M195" i="13"/>
  <c r="P195" i="13" s="1"/>
  <c r="N173" i="13"/>
  <c r="N151" i="13"/>
  <c r="O214" i="13"/>
  <c r="M151" i="13"/>
  <c r="P151" i="13" s="1"/>
  <c r="M194" i="13"/>
  <c r="N214" i="13"/>
  <c r="O149" i="13"/>
  <c r="O133" i="13"/>
  <c r="N149" i="13"/>
  <c r="P149" i="13" s="1"/>
  <c r="N133" i="13"/>
  <c r="N140" i="13"/>
  <c r="P140" i="13" s="1"/>
  <c r="M173" i="13"/>
  <c r="P173" i="13" s="1"/>
  <c r="O194" i="13"/>
  <c r="O140" i="13"/>
  <c r="M141" i="13"/>
  <c r="O13" i="13"/>
  <c r="N33" i="13"/>
  <c r="O29" i="13"/>
  <c r="M13" i="13"/>
  <c r="P13" i="13" s="1"/>
  <c r="M29" i="13"/>
  <c r="M80" i="13"/>
  <c r="N36" i="13"/>
  <c r="M33" i="13"/>
  <c r="N10" i="13"/>
  <c r="O10" i="13"/>
  <c r="N119" i="13"/>
  <c r="P119" i="13" s="1"/>
  <c r="O28" i="13"/>
  <c r="M28" i="13"/>
  <c r="O119" i="13"/>
  <c r="N37" i="13"/>
  <c r="M82" i="13"/>
  <c r="O77" i="13"/>
  <c r="O37" i="13"/>
  <c r="M187" i="13"/>
  <c r="O181" i="13"/>
  <c r="P181" i="13" s="1"/>
  <c r="O51" i="13"/>
  <c r="M168" i="13"/>
  <c r="N135" i="13"/>
  <c r="O175" i="13"/>
  <c r="M175" i="13"/>
  <c r="M186" i="13"/>
  <c r="N191" i="13"/>
  <c r="M146" i="13"/>
  <c r="N144" i="13"/>
  <c r="M188" i="13"/>
  <c r="P188" i="13" s="1"/>
  <c r="O192" i="13"/>
  <c r="O187" i="13"/>
  <c r="N168" i="13"/>
  <c r="M130" i="13"/>
  <c r="P226" i="13"/>
  <c r="P222" i="13"/>
  <c r="P230" i="13"/>
  <c r="N145" i="13"/>
  <c r="N15" i="13"/>
  <c r="N211" i="13"/>
  <c r="M145" i="13"/>
  <c r="M147" i="13"/>
  <c r="P147" i="13" s="1"/>
  <c r="M177" i="13"/>
  <c r="P141" i="13"/>
  <c r="P7" i="13"/>
  <c r="O193" i="13"/>
  <c r="P193" i="13" s="1"/>
  <c r="P234" i="13"/>
  <c r="P242" i="13"/>
  <c r="N130" i="13"/>
  <c r="P130" i="13" s="1"/>
  <c r="O172" i="13"/>
  <c r="P203" i="13"/>
  <c r="N182" i="13"/>
  <c r="P182" i="13" s="1"/>
  <c r="M172" i="13"/>
  <c r="M193" i="13"/>
  <c r="M182" i="13"/>
  <c r="N188" i="13"/>
  <c r="N178" i="13"/>
  <c r="P162" i="13"/>
  <c r="N186" i="13"/>
  <c r="P186" i="13" s="1"/>
  <c r="N177" i="13"/>
  <c r="M180" i="13"/>
  <c r="P180" i="13" s="1"/>
  <c r="P71" i="13"/>
  <c r="P85" i="13"/>
  <c r="P164" i="13"/>
  <c r="P227" i="13"/>
  <c r="P279" i="13"/>
  <c r="P283" i="13"/>
  <c r="O211" i="13"/>
  <c r="O131" i="13"/>
  <c r="P94" i="13"/>
  <c r="P14" i="13"/>
  <c r="O184" i="13"/>
  <c r="P123" i="13"/>
  <c r="N185" i="13"/>
  <c r="N184" i="13"/>
  <c r="P184" i="13" s="1"/>
  <c r="M185" i="13"/>
  <c r="M131" i="13"/>
  <c r="P131" i="13" s="1"/>
  <c r="P337" i="13"/>
  <c r="P353" i="13"/>
  <c r="P291" i="13"/>
  <c r="P316" i="13"/>
  <c r="P344" i="13"/>
  <c r="P117" i="13"/>
  <c r="P254" i="13"/>
  <c r="P352" i="13"/>
  <c r="P152" i="13"/>
  <c r="P47" i="13"/>
  <c r="P138" i="13"/>
  <c r="P112" i="13"/>
  <c r="P257" i="13"/>
  <c r="P261" i="13"/>
  <c r="P335" i="13"/>
  <c r="P359" i="13"/>
  <c r="P97" i="13"/>
  <c r="P116" i="13"/>
  <c r="P367" i="13"/>
  <c r="P208" i="13"/>
  <c r="P272" i="13"/>
  <c r="P288" i="13"/>
  <c r="P333" i="13"/>
  <c r="P209" i="13"/>
  <c r="P228" i="13"/>
  <c r="P30" i="13"/>
  <c r="P81" i="13"/>
  <c r="M15" i="13"/>
  <c r="P223" i="13"/>
  <c r="P255" i="13"/>
  <c r="P309" i="13"/>
  <c r="P313" i="13"/>
  <c r="P317" i="13"/>
  <c r="P196" i="13"/>
  <c r="P237" i="13"/>
  <c r="P253" i="13"/>
  <c r="P266" i="13"/>
  <c r="P270" i="13"/>
  <c r="P341" i="13"/>
  <c r="P354" i="13"/>
  <c r="P194" i="13"/>
  <c r="P350" i="13"/>
  <c r="P274" i="13"/>
  <c r="P287" i="13"/>
  <c r="P349" i="13"/>
  <c r="P145" i="13"/>
  <c r="P72" i="13"/>
  <c r="P240" i="13"/>
  <c r="P260" i="13"/>
  <c r="P348" i="13"/>
  <c r="P357" i="13"/>
  <c r="P70" i="13"/>
  <c r="P50" i="13"/>
  <c r="P235" i="13"/>
  <c r="P268" i="13"/>
  <c r="P295" i="13"/>
  <c r="P305" i="13"/>
  <c r="P326" i="13"/>
  <c r="P330" i="13"/>
  <c r="P339" i="13"/>
  <c r="P343" i="13"/>
  <c r="P366" i="13"/>
  <c r="O136" i="13"/>
  <c r="N181" i="13"/>
  <c r="N170" i="13"/>
  <c r="M192" i="13"/>
  <c r="P192" i="13" s="1"/>
  <c r="M183" i="13"/>
  <c r="M170" i="13"/>
  <c r="P170" i="13" s="1"/>
  <c r="O163" i="13"/>
  <c r="N183" i="13"/>
  <c r="N163" i="13"/>
  <c r="P163" i="13" s="1"/>
  <c r="N51" i="13"/>
  <c r="O179" i="13"/>
  <c r="M136" i="13"/>
  <c r="P136" i="13" s="1"/>
  <c r="N147" i="13"/>
  <c r="N179" i="13"/>
  <c r="P183" i="13" l="1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39" i="13" s="1"/>
  <c r="P153" i="13"/>
  <c r="P187" i="13"/>
  <c r="P84" i="13"/>
  <c r="P20" i="13"/>
  <c r="P214" i="13"/>
  <c r="P233" i="13"/>
  <c r="P167" i="13"/>
  <c r="P179" i="13"/>
  <c r="P34" i="13"/>
  <c r="P99" i="13"/>
  <c r="P142" i="13"/>
  <c r="P115" i="13"/>
  <c r="P6" i="13"/>
  <c r="P124" i="13"/>
  <c r="P25" i="13"/>
  <c r="P108" i="13"/>
  <c r="P110" i="13"/>
  <c r="P22" i="13"/>
  <c r="P177" i="13"/>
  <c r="P73" i="13"/>
  <c r="P79" i="13"/>
  <c r="P211" i="13"/>
  <c r="P33" i="13"/>
  <c r="P42" i="13"/>
  <c r="P37" i="13"/>
  <c r="P75" i="13"/>
  <c r="P18" i="13"/>
  <c r="P45" i="13"/>
  <c r="P88" i="13"/>
  <c r="P17" i="13"/>
  <c r="P90" i="13"/>
  <c r="P55" i="13"/>
  <c r="P100" i="13"/>
  <c r="P69" i="13"/>
  <c r="P120" i="13"/>
  <c r="P16" i="13"/>
  <c r="P217" i="13"/>
  <c r="M23" i="13"/>
  <c r="P23" i="13" s="1"/>
  <c r="N38" i="13"/>
  <c r="P38" i="13" s="1"/>
  <c r="P168" i="13"/>
  <c r="N44" i="13"/>
  <c r="P44" i="13" s="1"/>
  <c r="P74" i="13"/>
  <c r="P41" i="13"/>
  <c r="P15" i="13"/>
  <c r="P172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78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P144" i="13"/>
  <c r="P146" i="13"/>
  <c r="P26" i="13"/>
  <c r="N29" i="13"/>
  <c r="P29" i="13" s="1"/>
  <c r="P36" i="13"/>
  <c r="P105" i="13"/>
  <c r="P133" i="13"/>
  <c r="P12" i="13"/>
  <c r="P175" i="13"/>
  <c r="P51" i="13"/>
  <c r="P198" i="13"/>
  <c r="P64" i="13"/>
  <c r="P114" i="13"/>
  <c r="P126" i="13"/>
  <c r="P205" i="13"/>
  <c r="P60" i="13"/>
  <c r="P91" i="13"/>
  <c r="P191" i="13"/>
  <c r="V357" i="13"/>
  <c r="V156" i="13"/>
  <c r="V332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63" i="13"/>
  <c r="V329" i="13"/>
  <c r="V309" i="13"/>
  <c r="V54" i="13"/>
  <c r="V170" i="13"/>
  <c r="V178" i="13"/>
  <c r="V208" i="13"/>
  <c r="V274" i="13"/>
  <c r="V298" i="13"/>
  <c r="V313" i="13"/>
  <c r="V221" i="13"/>
  <c r="V225" i="13"/>
  <c r="V335" i="13"/>
  <c r="V339" i="13"/>
  <c r="V317" i="13"/>
  <c r="V321" i="13"/>
  <c r="V346" i="13"/>
  <c r="V12" i="13"/>
  <c r="V18" i="13"/>
  <c r="V43" i="13"/>
  <c r="V57" i="13"/>
  <c r="V120" i="13"/>
  <c r="V206" i="13"/>
  <c r="V293" i="13"/>
  <c r="V326" i="13"/>
  <c r="V79" i="13"/>
  <c r="V87" i="13"/>
  <c r="V95" i="13"/>
  <c r="V7" i="13"/>
  <c r="V26" i="13"/>
  <c r="V38" i="13"/>
  <c r="V247" i="13"/>
  <c r="V256" i="13"/>
  <c r="V367" i="13"/>
  <c r="V248" i="13"/>
  <c r="V113" i="13"/>
  <c r="V161" i="13"/>
  <c r="V182" i="13"/>
  <c r="V226" i="13"/>
  <c r="V233" i="13"/>
  <c r="V296" i="13"/>
  <c r="V301" i="13"/>
  <c r="V305" i="13"/>
  <c r="V337" i="13"/>
  <c r="V292" i="13"/>
  <c r="V205" i="13"/>
  <c r="V279" i="13"/>
  <c r="V283" i="13"/>
  <c r="V287" i="13"/>
  <c r="V341" i="13"/>
  <c r="V353" i="13"/>
  <c r="V361" i="13"/>
  <c r="V365" i="13"/>
  <c r="V366" i="13"/>
  <c r="V216" i="13"/>
  <c r="V266" i="13"/>
  <c r="V270" i="13"/>
  <c r="V286" i="13"/>
  <c r="V307" i="13"/>
  <c r="V311" i="13"/>
  <c r="V323" i="13"/>
  <c r="V344" i="13"/>
  <c r="V348" i="13"/>
  <c r="P185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50" i="13"/>
  <c r="O171" i="13"/>
  <c r="V280" i="13"/>
  <c r="V284" i="13"/>
  <c r="V288" i="13"/>
  <c r="V297" i="13"/>
  <c r="V302" i="13"/>
  <c r="V327" i="13"/>
  <c r="V331" i="13"/>
  <c r="V345" i="13"/>
  <c r="V354" i="13"/>
  <c r="V358" i="13"/>
  <c r="V362" i="13"/>
  <c r="V99" i="13"/>
  <c r="O135" i="13"/>
  <c r="P135" i="13" s="1"/>
  <c r="N189" i="13"/>
  <c r="M148" i="13"/>
  <c r="P148" i="13" s="1"/>
  <c r="O174" i="13"/>
  <c r="P174" i="13" s="1"/>
  <c r="M171" i="13"/>
  <c r="P171" i="13" s="1"/>
  <c r="V330" i="13"/>
  <c r="V116" i="13"/>
  <c r="V124" i="13"/>
  <c r="V148" i="13"/>
  <c r="V164" i="13"/>
  <c r="V169" i="13"/>
  <c r="V177" i="13"/>
  <c r="V204" i="13"/>
  <c r="V218" i="13"/>
  <c r="V231" i="13"/>
  <c r="V234" i="13"/>
  <c r="V239" i="13"/>
  <c r="V249" i="13"/>
  <c r="V267" i="13"/>
  <c r="V271" i="13"/>
  <c r="V275" i="13"/>
  <c r="V45" i="13"/>
  <c r="V47" i="13"/>
  <c r="V52" i="13"/>
  <c r="V59" i="13"/>
  <c r="V67" i="13"/>
  <c r="V72" i="13"/>
  <c r="V181" i="13"/>
  <c r="V278" i="13"/>
  <c r="V282" i="13"/>
  <c r="V325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10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1" i="13"/>
  <c r="V260" i="13"/>
  <c r="V265" i="13"/>
  <c r="V333" i="13"/>
  <c r="V342" i="13"/>
  <c r="V343" i="13"/>
  <c r="V352" i="13"/>
  <c r="V355" i="13"/>
  <c r="V356" i="13"/>
  <c r="V359" i="13"/>
  <c r="V360" i="13"/>
  <c r="V364" i="13"/>
  <c r="V368" i="13"/>
  <c r="V23" i="13"/>
  <c r="V281" i="13"/>
  <c r="V316" i="13"/>
  <c r="V122" i="13"/>
  <c r="V138" i="13"/>
  <c r="V172" i="13"/>
  <c r="V185" i="13"/>
  <c r="V196" i="13"/>
  <c r="V201" i="13"/>
  <c r="V232" i="13"/>
  <c r="V240" i="13"/>
  <c r="V244" i="13"/>
  <c r="V250" i="13"/>
  <c r="V255" i="13"/>
  <c r="V259" i="13"/>
  <c r="V263" i="13"/>
  <c r="V264" i="13"/>
  <c r="V285" i="13"/>
  <c r="V308" i="13"/>
  <c r="V143" i="13"/>
  <c r="V188" i="13"/>
  <c r="V198" i="13"/>
  <c r="V94" i="13"/>
  <c r="V97" i="13"/>
  <c r="V160" i="13"/>
  <c r="V173" i="13"/>
  <c r="V186" i="13"/>
  <c r="V194" i="13"/>
  <c r="V199" i="13"/>
  <c r="V212" i="13"/>
  <c r="V314" i="13"/>
  <c r="V318" i="13"/>
  <c r="V322" i="13"/>
  <c r="V290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53" i="13"/>
  <c r="V257" i="13"/>
  <c r="V269" i="13"/>
  <c r="V289" i="13"/>
  <c r="V312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52" i="13"/>
  <c r="V28" i="13"/>
  <c r="V277" i="13"/>
  <c r="V320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254" i="13"/>
  <c r="V315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61" i="13"/>
  <c r="V306" i="13"/>
  <c r="V336" i="13"/>
  <c r="V340" i="13"/>
  <c r="V349" i="13"/>
  <c r="V141" i="13"/>
  <c r="V351" i="13"/>
  <c r="V272" i="13"/>
  <c r="V14" i="13"/>
  <c r="V230" i="13"/>
  <c r="V276" i="13"/>
  <c r="V334" i="13"/>
  <c r="V149" i="13"/>
  <c r="V243" i="13"/>
  <c r="V88" i="13"/>
  <c r="V93" i="13"/>
  <c r="V295" i="13"/>
  <c r="V328" i="13"/>
  <c r="V338" i="13"/>
  <c r="V100" i="13"/>
  <c r="V152" i="13"/>
  <c r="V258" i="13"/>
  <c r="V268" i="13"/>
  <c r="V319" i="13"/>
  <c r="V78" i="13"/>
  <c r="V81" i="13"/>
  <c r="V83" i="13"/>
  <c r="V209" i="13"/>
  <c r="V215" i="13"/>
  <c r="V219" i="13"/>
  <c r="V220" i="13"/>
  <c r="V228" i="13"/>
  <c r="V229" i="13"/>
  <c r="V235" i="13"/>
  <c r="V273" i="13"/>
  <c r="V291" i="13"/>
  <c r="V299" i="13"/>
  <c r="V300" i="13"/>
  <c r="V304" i="13"/>
  <c r="V324" i="13"/>
  <c r="V347" i="13"/>
  <c r="V104" i="13"/>
  <c r="V144" i="13"/>
  <c r="V262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94" i="13"/>
  <c r="V303" i="13"/>
  <c r="P189" i="13" l="1"/>
</calcChain>
</file>

<file path=xl/sharedStrings.xml><?xml version="1.0" encoding="utf-8"?>
<sst xmlns="http://schemas.openxmlformats.org/spreadsheetml/2006/main" count="3567" uniqueCount="853">
  <si>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</si>
  <si>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</si>
  <si>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</si>
  <si>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</si>
  <si>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</si>
  <si>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</si>
  <si>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</si>
  <si>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</si>
  <si>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</si>
  <si>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</si>
  <si>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</si>
  <si>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</si>
  <si>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</si>
  <si>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</si>
  <si>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</si>
  <si>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</si>
  <si>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</si>
  <si>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</si>
  <si>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</si>
  <si>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</si>
  <si>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</si>
  <si>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</si>
  <si>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</si>
  <si>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</si>
  <si>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</si>
  <si>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</si>
  <si>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</si>
  <si>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</si>
  <si>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</si>
  <si>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</si>
  <si>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</si>
  <si>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</si>
  <si>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</si>
  <si>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</si>
  <si>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</si>
  <si>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</si>
  <si>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</si>
  <si>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</si>
  <si>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</si>
  <si>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</si>
  <si>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</si>
  <si>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</si>
  <si>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</si>
  <si>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</si>
  <si>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</si>
  <si>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</si>
  <si>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</si>
  <si>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</si>
  <si>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</si>
  <si>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</si>
  <si>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</si>
  <si>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</si>
  <si>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</si>
  <si>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</si>
  <si>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</si>
  <si>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</si>
  <si>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</si>
  <si>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</si>
  <si>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</si>
  <si>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</si>
  <si>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</si>
  <si>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</si>
  <si>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</si>
  <si>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</si>
  <si>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</si>
  <si>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</si>
  <si>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</si>
  <si>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</si>
  <si>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</si>
  <si>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</si>
  <si>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</si>
  <si>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</si>
  <si>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</si>
  <si>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</si>
  <si>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</si>
  <si>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</si>
  <si>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</si>
  <si>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</si>
  <si>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</si>
  <si>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</si>
  <si>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</si>
  <si>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</si>
  <si>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</si>
  <si>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</si>
  <si>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</si>
  <si>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</si>
  <si>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</si>
  <si>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</si>
  <si>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</si>
  <si>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</si>
  <si>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</si>
  <si>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</si>
  <si>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</si>
  <si>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</si>
  <si>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</si>
  <si>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</si>
  <si>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</si>
  <si>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</si>
  <si>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</si>
  <si>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</si>
  <si>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</si>
  <si>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</si>
  <si>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</si>
  <si>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</si>
  <si>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</si>
  <si>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</si>
  <si>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</si>
  <si>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</si>
  <si>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</si>
  <si>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</si>
  <si>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</si>
  <si>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</si>
  <si>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</si>
  <si>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</si>
  <si>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</si>
  <si>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</si>
  <si>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</si>
  <si>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</si>
  <si>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</si>
  <si>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</si>
  <si>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</si>
  <si>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</si>
  <si>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</si>
  <si>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</si>
  <si>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</si>
  <si>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</si>
  <si>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</si>
  <si>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</si>
  <si>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</si>
  <si>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</si>
  <si>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</si>
  <si>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</si>
  <si>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</si>
  <si>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</si>
  <si>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</si>
  <si>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</si>
  <si>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</si>
  <si>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</si>
  <si>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</si>
  <si>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</si>
  <si>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</si>
  <si>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</si>
  <si>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</si>
  <si>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</si>
  <si>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</si>
  <si>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</si>
  <si>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</si>
  <si>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</si>
  <si>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</si>
  <si>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</si>
  <si>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</si>
  <si>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</si>
  <si>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</si>
  <si>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</si>
  <si>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</si>
  <si>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</si>
  <si>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</si>
  <si>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</si>
  <si>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</si>
  <si>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</si>
  <si>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</si>
  <si>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</si>
  <si>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</si>
  <si>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</si>
  <si>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</si>
  <si>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</si>
  <si>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</si>
  <si>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</si>
  <si>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</si>
  <si>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</si>
  <si>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</si>
  <si>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</si>
  <si>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</si>
  <si>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</si>
  <si>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</si>
  <si>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</si>
  <si>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</si>
  <si>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</si>
  <si>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</si>
  <si>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</si>
  <si>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</si>
  <si>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</si>
  <si>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</si>
  <si>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</si>
  <si>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</si>
  <si>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</si>
  <si>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</si>
  <si>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</si>
  <si>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</si>
  <si>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</si>
  <si>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</si>
  <si>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</si>
  <si>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</si>
  <si>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</si>
  <si>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</si>
  <si>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</si>
  <si>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</si>
  <si>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</si>
  <si>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</si>
  <si>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</si>
  <si>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</si>
  <si>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</si>
  <si>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</si>
  <si>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</si>
  <si>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</si>
  <si>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</si>
  <si>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</si>
  <si>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</si>
  <si>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</si>
  <si>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</si>
  <si>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</si>
  <si>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</si>
  <si>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</si>
  <si>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</si>
  <si>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</si>
  <si>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</si>
  <si>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</si>
  <si>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</si>
  <si>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</si>
  <si>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</si>
  <si>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</si>
  <si>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</si>
  <si>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</si>
  <si>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</si>
  <si>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</si>
  <si>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</si>
  <si>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</si>
  <si>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</si>
  <si>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</si>
  <si>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</si>
  <si>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</si>
  <si>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</si>
  <si>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</si>
  <si>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</si>
  <si>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</si>
  <si>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</si>
  <si>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</si>
  <si>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</si>
  <si>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</si>
  <si>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</si>
  <si>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</si>
  <si>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</si>
  <si>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</si>
  <si>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</si>
  <si>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</si>
  <si>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</si>
  <si>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</si>
  <si>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</si>
  <si>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</si>
  <si>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</si>
  <si>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</si>
  <si>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</si>
  <si>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</si>
  <si>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</si>
  <si>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</si>
  <si>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</si>
  <si>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</si>
  <si>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</si>
  <si>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</si>
  <si>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</si>
  <si>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</si>
  <si>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</si>
  <si>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</si>
  <si>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</si>
  <si>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</si>
  <si>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</si>
  <si>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</si>
  <si>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</si>
  <si>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</si>
  <si>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</si>
  <si>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</si>
  <si>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</si>
  <si>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</si>
  <si>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</si>
  <si>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</si>
  <si>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</si>
  <si>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</si>
  <si>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</si>
  <si>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</si>
  <si>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</si>
  <si>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</si>
  <si>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</si>
  <si>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</si>
  <si>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</si>
  <si>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</si>
  <si>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</si>
  <si>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</si>
  <si>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</si>
  <si>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</si>
  <si>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</si>
  <si>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</si>
  <si>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</si>
  <si>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</si>
  <si>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</si>
  <si>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</si>
  <si>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</si>
  <si>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</si>
  <si>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</si>
  <si>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</si>
  <si>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</si>
  <si>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</si>
  <si>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</si>
  <si>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</si>
  <si>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</si>
  <si>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</si>
  <si>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</si>
  <si>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</si>
  <si>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</si>
  <si>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</si>
  <si>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</si>
  <si>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</si>
  <si>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</si>
  <si>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</si>
  <si>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</si>
  <si>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</si>
  <si>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</si>
  <si>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</si>
  <si>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</si>
  <si>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</si>
  <si>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</si>
  <si>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</si>
  <si>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</si>
  <si>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</si>
  <si>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</si>
  <si>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</si>
  <si>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</si>
  <si>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</si>
  <si>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</si>
  <si>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</si>
  <si>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</si>
  <si>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</si>
  <si>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</si>
  <si>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</si>
  <si>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</si>
  <si>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</si>
  <si>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</si>
  <si>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</si>
  <si>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</si>
  <si>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</si>
  <si>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</si>
  <si>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</si>
  <si>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</si>
  <si>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</si>
  <si>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</si>
  <si>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</si>
  <si>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</si>
  <si>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</si>
  <si>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</si>
  <si>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</si>
  <si>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</si>
  <si>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</si>
  <si>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</si>
  <si>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</si>
  <si>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</si>
  <si>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</si>
  <si>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</si>
  <si>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</si>
  <si>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</si>
  <si>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</si>
  <si>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</si>
  <si>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</si>
  <si>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</si>
  <si>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</si>
  <si>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</si>
  <si>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</si>
  <si>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</si>
  <si>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</si>
  <si>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</si>
  <si>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</si>
  <si>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</si>
  <si>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</si>
  <si>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</si>
  <si>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</si>
  <si>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</si>
  <si>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</si>
  <si>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</si>
  <si>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</si>
  <si>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</si>
  <si>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</si>
  <si>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</si>
  <si>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</si>
  <si>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</si>
  <si>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</si>
  <si>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</si>
  <si>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</si>
  <si>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</si>
  <si>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</si>
  <si>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</si>
  <si>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</si>
  <si>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</si>
  <si>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</si>
  <si>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</si>
  <si>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</si>
  <si>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</si>
  <si>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</si>
  <si>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</si>
  <si>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</si>
  <si>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</si>
  <si>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</si>
  <si>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</si>
  <si>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</si>
  <si>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</si>
  <si>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</si>
  <si>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</si>
  <si>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</si>
  <si>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</si>
  <si>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</si>
  <si>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</si>
  <si>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</si>
  <si>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</si>
  <si>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</si>
  <si>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</si>
  <si>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</si>
  <si>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</si>
  <si>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</si>
  <si>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</si>
  <si>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</si>
  <si>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</si>
  <si>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</si>
  <si>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</si>
  <si>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</si>
  <si>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</si>
  <si>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</si>
  <si>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</si>
  <si>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</si>
  <si>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</si>
  <si>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</si>
  <si>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</si>
  <si>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</si>
  <si>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12/08/2022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</si>
  <si>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</si>
  <si>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</si>
  <si>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</si>
  <si>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</si>
  <si>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</si>
  <si>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</si>
  <si>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</si>
  <si>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</si>
  <si>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</si>
  <si>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</si>
  <si>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</si>
  <si>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</si>
  <si>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</si>
  <si>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</si>
  <si>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</si>
  <si>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</si>
  <si>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</si>
  <si>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</si>
  <si>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</si>
  <si>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</si>
  <si>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</si>
  <si>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</si>
  <si>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</si>
  <si>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</si>
  <si>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</si>
  <si>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</si>
  <si>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</si>
  <si>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</si>
  <si>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</si>
  <si>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</si>
  <si>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</si>
  <si>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</si>
  <si>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</si>
  <si>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</si>
  <si>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</si>
  <si>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</si>
  <si>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</si>
  <si>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</si>
  <si>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</si>
  <si>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</si>
  <si>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</si>
  <si>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</si>
  <si>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</si>
  <si>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</si>
  <si>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</si>
  <si>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</si>
  <si>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</si>
  <si>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</si>
  <si>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</si>
  <si>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</si>
  <si>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</si>
  <si>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</si>
  <si>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</si>
  <si>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</si>
  <si>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</si>
  <si>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</si>
  <si>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</si>
  <si>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</si>
  <si>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</si>
  <si>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</si>
  <si>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</si>
  <si>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</si>
  <si>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</si>
  <si>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</si>
  <si>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</si>
  <si>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</si>
  <si>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</si>
  <si>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</si>
  <si>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</si>
  <si>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</si>
  <si>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</si>
  <si>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</si>
  <si>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</si>
  <si>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</si>
  <si>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</si>
  <si>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</si>
  <si>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</si>
  <si>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</si>
  <si>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</si>
  <si>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</si>
  <si>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</si>
  <si>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</si>
  <si>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</si>
  <si>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</si>
  <si>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</si>
  <si>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</si>
  <si>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</si>
  <si>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</si>
  <si>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</si>
  <si>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</si>
  <si>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</si>
  <si>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</si>
  <si>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</si>
  <si>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</si>
  <si>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</si>
  <si>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</si>
  <si>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</si>
  <si>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</si>
  <si>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</si>
  <si>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</si>
  <si>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</si>
  <si>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</si>
  <si>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</si>
  <si>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</si>
  <si>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</si>
  <si>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</si>
  <si>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</si>
  <si>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</si>
  <si>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</si>
  <si>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</si>
  <si>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</si>
  <si>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</si>
  <si>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</si>
  <si>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</si>
  <si>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</si>
  <si>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</si>
  <si>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</si>
  <si>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</si>
  <si>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</si>
  <si>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</si>
  <si>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</si>
  <si>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</si>
  <si>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</si>
  <si>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</si>
  <si>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</si>
  <si>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</si>
  <si>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</si>
  <si>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</si>
  <si>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</si>
  <si>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</si>
  <si>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</si>
  <si>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</si>
  <si>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</si>
  <si>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</si>
  <si>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</si>
  <si>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</si>
  <si>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</si>
  <si>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</si>
  <si>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</si>
  <si>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</si>
  <si>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</si>
  <si>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</si>
  <si>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</si>
  <si>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</si>
  <si>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</si>
  <si>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</si>
  <si>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</si>
  <si>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</si>
  <si>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</si>
  <si>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</si>
  <si>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</si>
  <si>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</si>
  <si>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</si>
  <si>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</si>
  <si>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</si>
  <si>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</si>
  <si>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</si>
  <si>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</si>
  <si>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</si>
  <si>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</si>
  <si>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</si>
  <si>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</si>
  <si>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</si>
  <si>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</si>
  <si>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</si>
  <si>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</si>
  <si>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</si>
  <si>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</si>
  <si>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</si>
  <si>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</si>
  <si>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</si>
  <si>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</si>
  <si>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</si>
  <si>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</si>
  <si>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</si>
  <si>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</si>
  <si>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</si>
  <si>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</si>
  <si>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</si>
  <si>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</si>
  <si>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</si>
  <si>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</si>
  <si>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</si>
  <si>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</si>
  <si>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</si>
  <si>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</si>
  <si>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</si>
  <si>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</si>
  <si>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</si>
  <si>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</si>
  <si>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</si>
  <si>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</si>
  <si>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</si>
  <si>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</si>
  <si>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</si>
  <si>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</si>
  <si>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</si>
  <si>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</si>
  <si>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</si>
  <si>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</si>
  <si>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</si>
  <si>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</si>
  <si>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</si>
  <si>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</si>
  <si>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</si>
  <si>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</si>
  <si>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</si>
  <si>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</si>
  <si>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</si>
  <si>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</si>
  <si>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</si>
  <si>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</si>
  <si>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</si>
  <si>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</si>
  <si>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</si>
  <si>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</si>
  <si>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</si>
  <si>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</si>
  <si>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</si>
  <si>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</si>
  <si>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</si>
  <si>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</si>
  <si>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</si>
  <si>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</si>
  <si>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</si>
  <si>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</si>
  <si>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</si>
  <si>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</si>
  <si>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</si>
  <si>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</si>
  <si>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</si>
  <si>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</si>
  <si>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</si>
  <si>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</si>
  <si>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</si>
  <si>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</si>
  <si>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</si>
  <si>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</si>
  <si>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</si>
  <si>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</si>
  <si>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</si>
  <si>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</si>
  <si>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</si>
  <si>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</si>
  <si>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</si>
  <si>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</si>
  <si>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</si>
  <si>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</si>
  <si>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</si>
  <si>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</si>
  <si>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</si>
  <si>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</si>
  <si>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</si>
  <si>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</si>
  <si>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</si>
  <si>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</si>
  <si>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</si>
  <si>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</si>
  <si>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</si>
  <si>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</si>
  <si>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</si>
  <si>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</si>
  <si>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</si>
  <si>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</si>
  <si>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</si>
  <si>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</si>
  <si>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</si>
  <si>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</si>
  <si>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</si>
  <si>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</si>
  <si>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</si>
  <si>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</si>
  <si>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</si>
  <si>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</si>
  <si>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</si>
  <si>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</si>
  <si>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</si>
  <si>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</si>
  <si>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</si>
  <si>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</si>
  <si>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</si>
  <si>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</si>
  <si>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</si>
  <si>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</si>
  <si>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</si>
  <si>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</si>
  <si>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</si>
  <si>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</si>
  <si>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</si>
  <si>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</si>
  <si>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</si>
  <si>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</si>
  <si>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</si>
  <si>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</si>
  <si>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</si>
  <si>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</si>
  <si>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</si>
  <si>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</si>
  <si>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</si>
  <si>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</si>
  <si>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</si>
  <si>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</si>
  <si>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</si>
  <si>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</si>
  <si>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</si>
  <si>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</si>
  <si>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</si>
  <si>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</si>
  <si>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</si>
  <si>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</si>
  <si>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</si>
  <si>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</si>
  <si>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</si>
  <si>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</si>
  <si>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</si>
  <si>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</si>
  <si>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</si>
  <si>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</si>
  <si>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</si>
  <si>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</si>
  <si>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</si>
  <si>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</si>
  <si>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</si>
  <si>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On Order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</si>
  <si>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</si>
  <si>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</si>
  <si>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</si>
  <si>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</si>
  <si>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</si>
  <si>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</si>
  <si>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</si>
  <si>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</si>
  <si>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</si>
  <si>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</si>
  <si>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</si>
  <si>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</si>
  <si>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</si>
  <si>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</si>
  <si>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</si>
  <si>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</si>
  <si>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</si>
  <si>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</si>
  <si>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</si>
  <si>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</si>
  <si>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</si>
  <si>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</si>
  <si>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</si>
  <si>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</si>
  <si>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</si>
  <si>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</si>
  <si>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</si>
  <si>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</si>
  <si>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</si>
  <si>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</si>
  <si>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</si>
  <si>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</si>
  <si>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Reference Only.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</si>
  <si>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</si>
  <si>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</si>
  <si>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</si>
  <si>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</si>
  <si>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</si>
  <si>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</si>
  <si>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</si>
  <si>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</si>
  <si>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</si>
  <si>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</si>
  <si>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</si>
  <si>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</si>
  <si>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</si>
  <si>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</si>
  <si>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</si>
  <si>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</si>
  <si>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</si>
  <si>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</si>
  <si>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</si>
  <si>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</si>
  <si>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</si>
  <si>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</si>
  <si>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</si>
  <si>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</si>
  <si>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</si>
  <si>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</si>
  <si>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</si>
  <si>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</si>
  <si>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</si>
  <si>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</si>
  <si>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</si>
  <si>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</si>
  <si>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Inspect condition.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</si>
  <si>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</si>
  <si>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</si>
  <si>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</si>
  <si>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</si>
  <si>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</si>
  <si>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</si>
  <si>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</si>
  <si>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</si>
  <si>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</si>
  <si>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</si>
  <si>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</si>
  <si>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</si>
  <si>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</si>
  <si>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</si>
  <si>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</si>
  <si>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</si>
  <si>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</si>
  <si>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</si>
  <si>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</si>
  <si>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</si>
  <si>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</si>
  <si>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</si>
  <si>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</si>
  <si>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</si>
  <si>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</si>
  <si>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</si>
  <si>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</si>
  <si>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</si>
  <si>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</si>
  <si>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</si>
  <si>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</si>
  <si>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</si>
  <si>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v3.4.1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</si>
</sst>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1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0" borderId="1" xfId="0" applyNumberFormat="1" applyFont="1" applyBorder="1" applyAlignment="1">
      <alignment horizontal="center"/>
    </xf>
    <xf numFmtId="0" fontId="0" fillId="6" borderId="4" xfId="0" applyFill="1" applyBorder="1" applyAlignment="1">
      <alignment horizontal="center"/>
    </xf>
    <xf numFmtId="14" fontId="0" fillId="6" borderId="4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 vertical="center"/>
    </xf>
    <xf numFmtId="0" fontId="5" fillId="4" borderId="6" xfId="0" applyNumberFormat="1" applyFont="1" applyFill="1" applyBorder="1" applyAlignment="1">
      <alignment horizontal="center"/>
    </xf>
    <xf numFmtId="0" fontId="5" fillId="4" borderId="7" xfId="0" applyNumberFormat="1" applyFont="1" applyFill="1" applyBorder="1" applyAlignment="1">
      <alignment horizontal="center"/>
    </xf>
    <xf numFmtId="0" fontId="5" fillId="4" borderId="5" xfId="0" applyNumberFormat="1" applyFont="1" applyFill="1" applyBorder="1" applyAlignment="1">
      <alignment horizontal="center"/>
    </xf>
  </cellXfs>
  <cellStyles count="2">
    <cellStyle name="Neutral" xfId="1" builtinId="28"/>
    <cellStyle name="Normal" xfId="0" builtinId="0"/>
  </cellStyles>
  <dxfs count="5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48" totalsRowShown="0" headerRowDxfId="34" dataDxfId="32" headerRowBorderDxfId="33" tableBorderDxfId="31" totalsRowBorderDxfId="30">
  <autoFilter ref="A2:J248" xr:uid="{00000000-0009-0000-0100-000002000000}"/>
  <sortState xmlns:xlrd2="http://schemas.microsoft.com/office/spreadsheetml/2017/richdata2" ref="A3:J248">
    <sortCondition ref="G2:G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O22" sqref="O22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K368"/>
  <sheetViews>
    <sheetView showGridLines="0" tabSelected="1" zoomScale="115" zoomScaleNormal="115" zoomScaleSheetLayoutView="69" workbookViewId="0">
      <pane ySplit="2" topLeftCell="A49" activePane="bottomLeft" state="frozen"/>
      <selection pane="bottomLeft" activeCell="B251" sqref="B251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6" width="14.5703125" style="6" hidden="1" customWidth="1"/>
    <col min="37" max="37" width="41.5703125" style="22" customWidth="1"/>
    <col min="38" max="16384" width="14.5703125" style="6"/>
  </cols>
  <sheetData>
    <row r="1" spans="1:37" ht="50.1" customHeight="1" x14ac:dyDescent="0.6">
      <c r="A1" s="88" t="s">
        <v>785</v>
      </c>
      <c r="B1" s="89"/>
      <c r="C1" s="89"/>
      <c r="D1" s="89"/>
      <c r="E1" s="89"/>
      <c r="F1" s="89"/>
      <c r="G1" s="89"/>
      <c r="H1" s="89"/>
      <c r="I1" s="89"/>
      <c r="J1" s="90"/>
      <c r="Z1" s="22" t="s">
        <v>852</v>
      </c>
    </row>
    <row r="2" spans="1:37" s="8" customFormat="1" ht="54" customHeight="1" x14ac:dyDescent="0.2">
      <c r="A2" s="70" t="s">
        <v>576</v>
      </c>
      <c r="B2" s="69" t="s">
        <v>575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798</v>
      </c>
      <c r="AA2" s="8" t="s">
        <v>788</v>
      </c>
      <c r="AB2" s="8" t="s">
        <v>789</v>
      </c>
      <c r="AC2" s="8" t="s">
        <v>790</v>
      </c>
      <c r="AD2" s="8" t="s">
        <v>791</v>
      </c>
      <c r="AE2" s="8" t="s">
        <v>792</v>
      </c>
      <c r="AF2" s="8" t="s">
        <v>793</v>
      </c>
      <c r="AG2" s="8" t="s">
        <v>794</v>
      </c>
      <c r="AH2" s="8" t="s">
        <v>795</v>
      </c>
      <c r="AI2" s="8" t="s">
        <v>796</v>
      </c>
      <c r="AJ2" s="8" t="s">
        <v>797</v>
      </c>
      <c r="AK2" s="68"/>
    </row>
    <row r="3" spans="1:37" ht="16.350000000000001" customHeight="1" x14ac:dyDescent="0.2">
      <c r="A3" s="14" t="s">
        <v>431</v>
      </c>
      <c r="B3" s="60" t="s">
        <v>431</v>
      </c>
      <c r="C3" s="15" t="s">
        <v>432</v>
      </c>
      <c r="D3" s="15" t="s">
        <v>433</v>
      </c>
      <c r="E3" s="15" t="s">
        <v>430</v>
      </c>
      <c r="F3" s="16" t="s">
        <v>188</v>
      </c>
      <c r="G3" s="37" t="s">
        <v>434</v>
      </c>
      <c r="H3" s="15" t="s">
        <v>435</v>
      </c>
      <c r="I3" s="15" t="s">
        <v>26</v>
      </c>
      <c r="J3" s="54" t="s">
        <v>819</v>
      </c>
      <c r="L3" s="18" t="s">
        <v>2</v>
      </c>
      <c r="M3" s="19">
        <f t="shared" ref="M3:M64" si="0">YEAR(G3)</f>
        <v>2022</v>
      </c>
      <c r="N3" s="19">
        <f t="shared" ref="N3:N64" si="1">IF(MONTH(G3)&lt;10,CONCATENATE(0,MONTH(G3)),MONTH(G3))</f>
        <v>12</v>
      </c>
      <c r="O3" s="19" t="str">
        <f t="shared" ref="O3:O64" si="2">IF(DAY(G3)&lt;10,CONCATENATE(0,DAY(G3)),DAY(G3))</f>
        <v>03</v>
      </c>
      <c r="P3" s="18" t="str">
        <f>CONCATENATE(M3,N3,O3)</f>
        <v>20221203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05</v>
      </c>
      <c r="V3" s="21" t="str">
        <f ca="1">CONCATENATE(S3,T3,U3)</f>
        <v>20221205</v>
      </c>
      <c r="Z3" s="29" t="s">
        <v>799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</row>
    <row r="4" spans="1:37" ht="16.350000000000001" customHeight="1" x14ac:dyDescent="0.2">
      <c r="A4" s="14" t="s">
        <v>137</v>
      </c>
      <c r="B4" s="59">
        <v>1025320</v>
      </c>
      <c r="C4" s="15" t="s">
        <v>129</v>
      </c>
      <c r="D4" s="15" t="s">
        <v>158</v>
      </c>
      <c r="E4" s="15" t="s">
        <v>22</v>
      </c>
      <c r="F4" s="16">
        <v>44168</v>
      </c>
      <c r="G4" s="17">
        <v>44899</v>
      </c>
      <c r="H4" s="15" t="s">
        <v>14</v>
      </c>
      <c r="I4" s="15" t="s">
        <v>138</v>
      </c>
      <c r="J4" s="54" t="s">
        <v>4</v>
      </c>
      <c r="L4" s="18" t="s">
        <v>2</v>
      </c>
      <c r="M4" s="19">
        <f t="shared" si="0"/>
        <v>2022</v>
      </c>
      <c r="N4" s="19">
        <f t="shared" si="1"/>
        <v>12</v>
      </c>
      <c r="O4" s="19" t="str">
        <f t="shared" si="2"/>
        <v>04</v>
      </c>
      <c r="P4" s="18" t="str">
        <f t="shared" ref="P4:P64" si="5">CONCATENATE(M4,N4,O4)</f>
        <v>20221204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05</v>
      </c>
      <c r="V4" s="21" t="str">
        <f t="shared" ref="V4:V64" ca="1" si="7">CONCATENATE(S4,T4,U4)</f>
        <v>20221205</v>
      </c>
      <c r="Z4" s="6" t="s">
        <v>799</v>
      </c>
    </row>
    <row r="5" spans="1:37" ht="16.350000000000001" customHeight="1" x14ac:dyDescent="0.2">
      <c r="A5" s="14" t="s">
        <v>564</v>
      </c>
      <c r="B5" s="60" t="s">
        <v>4</v>
      </c>
      <c r="C5" s="15" t="s">
        <v>4</v>
      </c>
      <c r="D5" s="15" t="s">
        <v>563</v>
      </c>
      <c r="E5" s="15" t="s">
        <v>430</v>
      </c>
      <c r="F5" s="16" t="s">
        <v>649</v>
      </c>
      <c r="G5" s="17" t="s">
        <v>429</v>
      </c>
      <c r="H5" s="15" t="s">
        <v>14</v>
      </c>
      <c r="I5" s="15" t="s">
        <v>424</v>
      </c>
      <c r="J5" s="54" t="s">
        <v>4</v>
      </c>
      <c r="L5" s="18" t="s">
        <v>2</v>
      </c>
      <c r="M5" s="19">
        <f t="shared" si="0"/>
        <v>2022</v>
      </c>
      <c r="N5" s="19">
        <f t="shared" si="1"/>
        <v>12</v>
      </c>
      <c r="O5" s="19" t="str">
        <f t="shared" si="2"/>
        <v>08</v>
      </c>
      <c r="P5" s="18" t="str">
        <f t="shared" si="5"/>
        <v>20221208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05</v>
      </c>
      <c r="V5" s="21" t="str">
        <f t="shared" ca="1" si="7"/>
        <v>20221205</v>
      </c>
      <c r="Z5" s="29" t="s">
        <v>799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</row>
    <row r="6" spans="1:37" ht="16.350000000000001" customHeight="1" x14ac:dyDescent="0.2">
      <c r="A6" s="14" t="s">
        <v>33</v>
      </c>
      <c r="B6" s="60" t="s">
        <v>34</v>
      </c>
      <c r="C6" s="15" t="s">
        <v>35</v>
      </c>
      <c r="D6" s="15" t="s">
        <v>158</v>
      </c>
      <c r="E6" s="15" t="s">
        <v>34</v>
      </c>
      <c r="F6" s="16">
        <v>44180</v>
      </c>
      <c r="G6" s="17">
        <v>44911</v>
      </c>
      <c r="H6" s="15" t="s">
        <v>14</v>
      </c>
      <c r="I6" s="15" t="s">
        <v>19</v>
      </c>
      <c r="J6" s="54" t="s">
        <v>4</v>
      </c>
      <c r="L6" s="18" t="s">
        <v>2</v>
      </c>
      <c r="M6" s="19">
        <f t="shared" si="0"/>
        <v>2022</v>
      </c>
      <c r="N6" s="19">
        <f t="shared" si="1"/>
        <v>12</v>
      </c>
      <c r="O6" s="19">
        <f t="shared" si="2"/>
        <v>16</v>
      </c>
      <c r="P6" s="18" t="str">
        <f t="shared" si="5"/>
        <v>20221216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05</v>
      </c>
      <c r="V6" s="21" t="str">
        <f t="shared" ca="1" si="7"/>
        <v>20221205</v>
      </c>
      <c r="Z6" s="6" t="s">
        <v>799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</row>
    <row r="7" spans="1:37" ht="16.350000000000001" customHeight="1" x14ac:dyDescent="0.2">
      <c r="A7" s="14" t="s">
        <v>292</v>
      </c>
      <c r="B7" s="60">
        <v>5142754</v>
      </c>
      <c r="C7" s="15" t="s">
        <v>293</v>
      </c>
      <c r="D7" s="15" t="s">
        <v>161</v>
      </c>
      <c r="E7" s="15" t="s">
        <v>22</v>
      </c>
      <c r="F7" s="33">
        <v>44180</v>
      </c>
      <c r="G7" s="17">
        <f>F7+731</f>
        <v>44911</v>
      </c>
      <c r="H7" s="15" t="s">
        <v>14</v>
      </c>
      <c r="I7" s="32" t="s">
        <v>19</v>
      </c>
      <c r="J7" s="54"/>
      <c r="L7" s="18" t="s">
        <v>2</v>
      </c>
      <c r="M7" s="19">
        <f t="shared" si="0"/>
        <v>2022</v>
      </c>
      <c r="N7" s="19">
        <f t="shared" si="1"/>
        <v>12</v>
      </c>
      <c r="O7" s="19">
        <f t="shared" si="2"/>
        <v>16</v>
      </c>
      <c r="P7" s="18" t="str">
        <f t="shared" si="5"/>
        <v>20221216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05</v>
      </c>
      <c r="V7" s="21" t="str">
        <f t="shared" ca="1" si="7"/>
        <v>20221205</v>
      </c>
      <c r="Z7" s="29" t="s">
        <v>799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</row>
    <row r="8" spans="1:37" ht="16.350000000000001" customHeight="1" x14ac:dyDescent="0.2">
      <c r="A8" s="14" t="s">
        <v>123</v>
      </c>
      <c r="B8" s="60" t="s">
        <v>124</v>
      </c>
      <c r="C8" s="15" t="s">
        <v>125</v>
      </c>
      <c r="D8" s="15" t="s">
        <v>158</v>
      </c>
      <c r="E8" s="15" t="s">
        <v>22</v>
      </c>
      <c r="F8" s="16">
        <v>44196</v>
      </c>
      <c r="G8" s="17">
        <v>44927</v>
      </c>
      <c r="H8" s="15" t="s">
        <v>14</v>
      </c>
      <c r="I8" s="15" t="s">
        <v>13</v>
      </c>
      <c r="J8" s="54" t="s">
        <v>4</v>
      </c>
      <c r="L8" s="18" t="s">
        <v>2</v>
      </c>
      <c r="M8" s="19">
        <f t="shared" si="0"/>
        <v>2023</v>
      </c>
      <c r="N8" s="19" t="str">
        <f t="shared" si="1"/>
        <v>01</v>
      </c>
      <c r="O8" s="19" t="str">
        <f t="shared" si="2"/>
        <v>01</v>
      </c>
      <c r="P8" s="18" t="str">
        <f t="shared" si="5"/>
        <v>20230101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05</v>
      </c>
      <c r="V8" s="21" t="str">
        <f t="shared" ca="1" si="7"/>
        <v>20221205</v>
      </c>
      <c r="Z8" s="6" t="s">
        <v>799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</row>
    <row r="9" spans="1:37" ht="16.350000000000001" customHeight="1" x14ac:dyDescent="0.2">
      <c r="A9" s="14" t="s">
        <v>653</v>
      </c>
      <c r="B9" s="60" t="s">
        <v>4</v>
      </c>
      <c r="C9" s="15" t="s">
        <v>654</v>
      </c>
      <c r="D9" s="15" t="s">
        <v>536</v>
      </c>
      <c r="E9" s="15" t="s">
        <v>430</v>
      </c>
      <c r="F9" s="16" t="s">
        <v>655</v>
      </c>
      <c r="G9" s="17" t="s">
        <v>656</v>
      </c>
      <c r="H9" s="15" t="s">
        <v>14</v>
      </c>
      <c r="I9" s="15" t="s">
        <v>23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01</v>
      </c>
      <c r="O9" s="19" t="str">
        <f t="shared" si="2"/>
        <v>06</v>
      </c>
      <c r="P9" s="18" t="str">
        <f t="shared" si="5"/>
        <v>20230106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05</v>
      </c>
      <c r="V9" s="21" t="str">
        <f t="shared" ca="1" si="7"/>
        <v>20221205</v>
      </c>
      <c r="Z9" s="29" t="s">
        <v>799</v>
      </c>
      <c r="AA9" s="6" t="s">
        <v>822</v>
      </c>
      <c r="AB9" s="6" t="s">
        <v>4</v>
      </c>
      <c r="AC9" s="6" t="s">
        <v>823</v>
      </c>
      <c r="AD9" s="6" t="s">
        <v>4</v>
      </c>
      <c r="AE9" s="6" t="s">
        <v>824</v>
      </c>
      <c r="AF9" s="6" t="s">
        <v>4</v>
      </c>
      <c r="AG9" s="6" t="s">
        <v>825</v>
      </c>
      <c r="AH9" s="6" t="s">
        <v>4</v>
      </c>
      <c r="AI9" s="6" t="s">
        <v>826</v>
      </c>
      <c r="AJ9" s="6" t="s">
        <v>4</v>
      </c>
    </row>
    <row r="10" spans="1:37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578</v>
      </c>
      <c r="G10" s="40" t="s">
        <v>578</v>
      </c>
      <c r="H10" s="39" t="s">
        <v>14</v>
      </c>
      <c r="I10" s="39" t="s">
        <v>19</v>
      </c>
      <c r="J10" s="77" t="s">
        <v>827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05</v>
      </c>
      <c r="V10" s="21" t="str">
        <f t="shared" ca="1" si="7"/>
        <v>20221205</v>
      </c>
      <c r="Z10" s="6" t="s">
        <v>628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</row>
    <row r="11" spans="1:37" ht="16.350000000000001" customHeight="1" x14ac:dyDescent="0.2">
      <c r="A11" s="14" t="s">
        <v>558</v>
      </c>
      <c r="B11" s="60" t="s">
        <v>4</v>
      </c>
      <c r="C11" s="15" t="s">
        <v>559</v>
      </c>
      <c r="D11" s="15" t="s">
        <v>536</v>
      </c>
      <c r="E11" s="15" t="s">
        <v>430</v>
      </c>
      <c r="F11" s="16" t="s">
        <v>846</v>
      </c>
      <c r="G11" s="17" t="s">
        <v>658</v>
      </c>
      <c r="H11" s="15" t="s">
        <v>14</v>
      </c>
      <c r="I11" s="15" t="s">
        <v>462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01</v>
      </c>
      <c r="O11" s="19">
        <f t="shared" si="2"/>
        <v>11</v>
      </c>
      <c r="P11" s="18" t="str">
        <f t="shared" si="5"/>
        <v>20230111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05</v>
      </c>
      <c r="V11" s="21" t="str">
        <f t="shared" ca="1" si="7"/>
        <v>20221205</v>
      </c>
      <c r="Z11" s="29" t="s">
        <v>799</v>
      </c>
      <c r="AA11" s="6" t="s">
        <v>828</v>
      </c>
      <c r="AB11" s="6" t="s">
        <v>4</v>
      </c>
      <c r="AC11" s="6" t="s">
        <v>829</v>
      </c>
      <c r="AD11" s="6" t="s">
        <v>830</v>
      </c>
      <c r="AE11" s="6" t="s">
        <v>831</v>
      </c>
      <c r="AF11" s="6" t="s">
        <v>832</v>
      </c>
      <c r="AG11" s="6" t="s">
        <v>833</v>
      </c>
      <c r="AH11" s="6" t="s">
        <v>834</v>
      </c>
      <c r="AI11" s="6" t="s">
        <v>835</v>
      </c>
      <c r="AJ11" s="6" t="s">
        <v>836</v>
      </c>
    </row>
    <row r="12" spans="1:37" ht="16.350000000000001" customHeight="1" x14ac:dyDescent="0.2">
      <c r="A12" s="34" t="s">
        <v>803</v>
      </c>
      <c r="B12" s="67" t="s">
        <v>803</v>
      </c>
      <c r="C12" s="35" t="s">
        <v>428</v>
      </c>
      <c r="D12" s="15" t="s">
        <v>428</v>
      </c>
      <c r="E12" s="35" t="s">
        <v>430</v>
      </c>
      <c r="F12" s="36" t="s">
        <v>802</v>
      </c>
      <c r="G12" s="37" t="s">
        <v>658</v>
      </c>
      <c r="H12" s="35" t="s">
        <v>14</v>
      </c>
      <c r="I12" s="35" t="s">
        <v>138</v>
      </c>
      <c r="J12" s="58" t="s">
        <v>4</v>
      </c>
      <c r="L12" s="18" t="s">
        <v>2</v>
      </c>
      <c r="M12" s="19">
        <f t="shared" si="0"/>
        <v>2023</v>
      </c>
      <c r="N12" s="19" t="str">
        <f t="shared" si="1"/>
        <v>01</v>
      </c>
      <c r="O12" s="19">
        <f t="shared" si="2"/>
        <v>11</v>
      </c>
      <c r="P12" s="18" t="str">
        <f t="shared" si="5"/>
        <v>20230111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05</v>
      </c>
      <c r="V12" s="21" t="str">
        <f t="shared" ca="1" si="7"/>
        <v>20221205</v>
      </c>
      <c r="Z12" s="6" t="s">
        <v>799</v>
      </c>
    </row>
    <row r="13" spans="1:37" ht="16.350000000000001" customHeight="1" x14ac:dyDescent="0.2">
      <c r="A13" s="14" t="s">
        <v>552</v>
      </c>
      <c r="B13" s="60" t="s">
        <v>4</v>
      </c>
      <c r="C13" s="15" t="s">
        <v>553</v>
      </c>
      <c r="D13" s="15" t="s">
        <v>536</v>
      </c>
      <c r="E13" s="15" t="s">
        <v>430</v>
      </c>
      <c r="F13" s="16" t="s">
        <v>661</v>
      </c>
      <c r="G13" s="17" t="s">
        <v>662</v>
      </c>
      <c r="H13" s="15" t="s">
        <v>14</v>
      </c>
      <c r="I13" s="15" t="s">
        <v>554</v>
      </c>
      <c r="J13" s="54" t="s">
        <v>4</v>
      </c>
      <c r="L13" s="18" t="s">
        <v>2</v>
      </c>
      <c r="M13" s="19">
        <f t="shared" si="0"/>
        <v>2023</v>
      </c>
      <c r="N13" s="19" t="str">
        <f t="shared" si="1"/>
        <v>02</v>
      </c>
      <c r="O13" s="19" t="str">
        <f t="shared" si="2"/>
        <v>07</v>
      </c>
      <c r="P13" s="18" t="str">
        <f t="shared" si="5"/>
        <v>20230207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05</v>
      </c>
      <c r="V13" s="21" t="str">
        <f t="shared" ca="1" si="7"/>
        <v>20221205</v>
      </c>
      <c r="Z13" s="29" t="s">
        <v>799</v>
      </c>
    </row>
    <row r="14" spans="1:37" ht="16.350000000000001" customHeight="1" x14ac:dyDescent="0.2">
      <c r="A14" s="14" t="s">
        <v>568</v>
      </c>
      <c r="B14" s="60" t="s">
        <v>4</v>
      </c>
      <c r="C14" s="15" t="s">
        <v>569</v>
      </c>
      <c r="D14" s="15" t="s">
        <v>572</v>
      </c>
      <c r="E14" s="15" t="s">
        <v>430</v>
      </c>
      <c r="F14" s="16" t="s">
        <v>661</v>
      </c>
      <c r="G14" s="37" t="s">
        <v>662</v>
      </c>
      <c r="H14" s="15" t="s">
        <v>14</v>
      </c>
      <c r="I14" s="15" t="s">
        <v>13</v>
      </c>
      <c r="J14" s="54" t="s">
        <v>4</v>
      </c>
      <c r="L14" s="18" t="s">
        <v>2</v>
      </c>
      <c r="M14" s="19">
        <f t="shared" si="0"/>
        <v>2023</v>
      </c>
      <c r="N14" s="19" t="str">
        <f t="shared" si="1"/>
        <v>02</v>
      </c>
      <c r="O14" s="19" t="str">
        <f t="shared" si="2"/>
        <v>07</v>
      </c>
      <c r="P14" s="18" t="str">
        <f t="shared" si="5"/>
        <v>20230207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05</v>
      </c>
      <c r="V14" s="21" t="str">
        <f t="shared" ca="1" si="7"/>
        <v>20221205</v>
      </c>
      <c r="Z14" s="6" t="s">
        <v>799</v>
      </c>
    </row>
    <row r="15" spans="1:37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05</v>
      </c>
      <c r="V15" s="21" t="str">
        <f t="shared" ca="1" si="7"/>
        <v>20221205</v>
      </c>
      <c r="Z15" s="29" t="s">
        <v>627</v>
      </c>
    </row>
    <row r="16" spans="1:37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578</v>
      </c>
      <c r="G16" s="17" t="s">
        <v>578</v>
      </c>
      <c r="H16" s="15" t="s">
        <v>14</v>
      </c>
      <c r="I16" s="15" t="s">
        <v>29</v>
      </c>
      <c r="J16" s="54" t="s">
        <v>756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05</v>
      </c>
      <c r="V16" s="21" t="str">
        <f t="shared" ca="1" si="7"/>
        <v>20221205</v>
      </c>
      <c r="Z16" s="6" t="s">
        <v>627</v>
      </c>
    </row>
    <row r="17" spans="1:36" ht="16.350000000000001" customHeight="1" x14ac:dyDescent="0.2">
      <c r="A17" s="14" t="s">
        <v>494</v>
      </c>
      <c r="B17" s="59">
        <v>161406440</v>
      </c>
      <c r="C17" s="15" t="s">
        <v>495</v>
      </c>
      <c r="D17" s="15" t="s">
        <v>482</v>
      </c>
      <c r="E17" s="15" t="s">
        <v>430</v>
      </c>
      <c r="F17" s="16" t="s">
        <v>496</v>
      </c>
      <c r="G17" s="17" t="s">
        <v>497</v>
      </c>
      <c r="H17" s="15" t="s">
        <v>14</v>
      </c>
      <c r="I17" s="15" t="s">
        <v>19</v>
      </c>
      <c r="J17" s="54" t="s">
        <v>498</v>
      </c>
      <c r="L17" s="18" t="s">
        <v>2</v>
      </c>
      <c r="M17" s="19">
        <f t="shared" si="0"/>
        <v>2023</v>
      </c>
      <c r="N17" s="19" t="str">
        <f t="shared" si="1"/>
        <v>02</v>
      </c>
      <c r="O17" s="19" t="str">
        <f t="shared" si="2"/>
        <v>09</v>
      </c>
      <c r="P17" s="18" t="str">
        <f t="shared" si="5"/>
        <v>20230209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05</v>
      </c>
      <c r="V17" s="21" t="str">
        <f t="shared" ca="1" si="7"/>
        <v>20221205</v>
      </c>
      <c r="Z17" s="29" t="s">
        <v>799</v>
      </c>
    </row>
    <row r="18" spans="1:36" ht="16.350000000000001" customHeight="1" x14ac:dyDescent="0.2">
      <c r="A18" s="14" t="s">
        <v>489</v>
      </c>
      <c r="B18" s="59">
        <v>132104330</v>
      </c>
      <c r="C18" s="15" t="s">
        <v>490</v>
      </c>
      <c r="D18" s="15" t="s">
        <v>482</v>
      </c>
      <c r="E18" s="15" t="s">
        <v>430</v>
      </c>
      <c r="F18" s="16" t="s">
        <v>491</v>
      </c>
      <c r="G18" s="17" t="s">
        <v>492</v>
      </c>
      <c r="H18" s="15" t="s">
        <v>14</v>
      </c>
      <c r="I18" s="15" t="s">
        <v>23</v>
      </c>
      <c r="J18" s="54" t="s">
        <v>493</v>
      </c>
      <c r="L18" s="18" t="s">
        <v>2</v>
      </c>
      <c r="M18" s="19">
        <f t="shared" si="0"/>
        <v>2023</v>
      </c>
      <c r="N18" s="19" t="str">
        <f t="shared" si="1"/>
        <v>02</v>
      </c>
      <c r="O18" s="19">
        <f t="shared" si="2"/>
        <v>16</v>
      </c>
      <c r="P18" s="18" t="str">
        <f t="shared" si="5"/>
        <v>20230216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05</v>
      </c>
      <c r="V18" s="21" t="str">
        <f t="shared" ca="1" si="7"/>
        <v>20221205</v>
      </c>
      <c r="Z18" s="6" t="s">
        <v>799</v>
      </c>
    </row>
    <row r="19" spans="1:36" ht="16.350000000000001" customHeight="1" x14ac:dyDescent="0.2">
      <c r="A19" s="14" t="s">
        <v>139</v>
      </c>
      <c r="B19" s="59">
        <v>1026492</v>
      </c>
      <c r="C19" s="15" t="s">
        <v>140</v>
      </c>
      <c r="D19" s="15" t="s">
        <v>158</v>
      </c>
      <c r="E19" s="15" t="s">
        <v>22</v>
      </c>
      <c r="F19" s="16">
        <v>44249</v>
      </c>
      <c r="G19" s="17">
        <v>44980</v>
      </c>
      <c r="H19" s="15" t="s">
        <v>14</v>
      </c>
      <c r="I19" s="15" t="s">
        <v>23</v>
      </c>
      <c r="J19" s="54" t="s">
        <v>141</v>
      </c>
      <c r="L19" s="18" t="s">
        <v>2</v>
      </c>
      <c r="M19" s="19">
        <f t="shared" si="0"/>
        <v>2023</v>
      </c>
      <c r="N19" s="19" t="str">
        <f t="shared" si="1"/>
        <v>02</v>
      </c>
      <c r="O19" s="19">
        <f t="shared" si="2"/>
        <v>23</v>
      </c>
      <c r="P19" s="18" t="str">
        <f t="shared" si="5"/>
        <v>20230223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05</v>
      </c>
      <c r="V19" s="21" t="str">
        <f t="shared" ca="1" si="7"/>
        <v>20221205</v>
      </c>
      <c r="Z19" s="29" t="s">
        <v>799</v>
      </c>
    </row>
    <row r="20" spans="1:36" ht="16.350000000000001" customHeight="1" x14ac:dyDescent="0.2">
      <c r="A20" s="14" t="s">
        <v>142</v>
      </c>
      <c r="B20" s="59">
        <v>1026492</v>
      </c>
      <c r="C20" s="15" t="s">
        <v>140</v>
      </c>
      <c r="D20" s="15" t="s">
        <v>158</v>
      </c>
      <c r="E20" s="15" t="s">
        <v>22</v>
      </c>
      <c r="F20" s="16">
        <v>44249</v>
      </c>
      <c r="G20" s="17">
        <v>44980</v>
      </c>
      <c r="H20" s="15" t="s">
        <v>14</v>
      </c>
      <c r="I20" s="15" t="s">
        <v>29</v>
      </c>
      <c r="J20" s="54" t="s">
        <v>141</v>
      </c>
      <c r="L20" s="18" t="s">
        <v>2</v>
      </c>
      <c r="M20" s="19">
        <f t="shared" si="0"/>
        <v>2023</v>
      </c>
      <c r="N20" s="19" t="str">
        <f t="shared" si="1"/>
        <v>02</v>
      </c>
      <c r="O20" s="19">
        <f t="shared" si="2"/>
        <v>23</v>
      </c>
      <c r="P20" s="18" t="str">
        <f t="shared" si="5"/>
        <v>20230223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05</v>
      </c>
      <c r="V20" s="21" t="str">
        <f t="shared" ca="1" si="7"/>
        <v>20221205</v>
      </c>
      <c r="Z20" s="6" t="s">
        <v>799</v>
      </c>
    </row>
    <row r="21" spans="1:36" ht="16.350000000000001" customHeight="1" x14ac:dyDescent="0.2">
      <c r="A21" s="14" t="s">
        <v>143</v>
      </c>
      <c r="B21" s="59">
        <v>1026492</v>
      </c>
      <c r="C21" s="15" t="s">
        <v>144</v>
      </c>
      <c r="D21" s="15" t="s">
        <v>158</v>
      </c>
      <c r="E21" s="15" t="s">
        <v>22</v>
      </c>
      <c r="F21" s="16">
        <v>44249</v>
      </c>
      <c r="G21" s="17">
        <v>44980</v>
      </c>
      <c r="H21" s="15" t="s">
        <v>14</v>
      </c>
      <c r="I21" s="15" t="s">
        <v>23</v>
      </c>
      <c r="J21" s="54" t="s">
        <v>145</v>
      </c>
      <c r="L21" s="18" t="s">
        <v>2</v>
      </c>
      <c r="M21" s="19">
        <f t="shared" si="0"/>
        <v>2023</v>
      </c>
      <c r="N21" s="19" t="str">
        <f t="shared" si="1"/>
        <v>02</v>
      </c>
      <c r="O21" s="19">
        <f t="shared" si="2"/>
        <v>23</v>
      </c>
      <c r="P21" s="18" t="str">
        <f t="shared" si="5"/>
        <v>20230223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05</v>
      </c>
      <c r="V21" s="21" t="str">
        <f t="shared" ca="1" si="7"/>
        <v>20221205</v>
      </c>
      <c r="Z21" s="29" t="s">
        <v>799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</row>
    <row r="22" spans="1:36" ht="16.350000000000001" customHeight="1" x14ac:dyDescent="0.2">
      <c r="A22" s="14" t="s">
        <v>146</v>
      </c>
      <c r="B22" s="59">
        <v>1026492</v>
      </c>
      <c r="C22" s="15" t="s">
        <v>144</v>
      </c>
      <c r="D22" s="15" t="s">
        <v>158</v>
      </c>
      <c r="E22" s="15" t="s">
        <v>22</v>
      </c>
      <c r="F22" s="16">
        <v>44249</v>
      </c>
      <c r="G22" s="17">
        <v>44980</v>
      </c>
      <c r="H22" s="15" t="s">
        <v>14</v>
      </c>
      <c r="I22" s="15" t="s">
        <v>29</v>
      </c>
      <c r="J22" s="54" t="s">
        <v>147</v>
      </c>
      <c r="L22" s="18" t="s">
        <v>2</v>
      </c>
      <c r="M22" s="19">
        <f t="shared" si="0"/>
        <v>2023</v>
      </c>
      <c r="N22" s="19" t="str">
        <f t="shared" si="1"/>
        <v>02</v>
      </c>
      <c r="O22" s="19">
        <f t="shared" si="2"/>
        <v>23</v>
      </c>
      <c r="P22" s="18" t="str">
        <f t="shared" si="5"/>
        <v>20230223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05</v>
      </c>
      <c r="V22" s="21" t="str">
        <f t="shared" ca="1" si="7"/>
        <v>20221205</v>
      </c>
      <c r="Z22" s="6" t="s">
        <v>799</v>
      </c>
    </row>
    <row r="23" spans="1:36" ht="16.350000000000001" customHeight="1" x14ac:dyDescent="0.2">
      <c r="A23" s="14" t="s">
        <v>228</v>
      </c>
      <c r="B23" s="60">
        <v>1021870</v>
      </c>
      <c r="C23" s="15" t="s">
        <v>256</v>
      </c>
      <c r="D23" s="15" t="s">
        <v>161</v>
      </c>
      <c r="E23" s="15" t="s">
        <v>235</v>
      </c>
      <c r="F23" s="33">
        <v>44250</v>
      </c>
      <c r="G23" s="17">
        <f>F23+731</f>
        <v>44981</v>
      </c>
      <c r="H23" s="15" t="s">
        <v>14</v>
      </c>
      <c r="I23" s="15" t="s">
        <v>19</v>
      </c>
      <c r="J23" s="54"/>
      <c r="L23" s="18" t="s">
        <v>2</v>
      </c>
      <c r="M23" s="19">
        <f t="shared" si="0"/>
        <v>2023</v>
      </c>
      <c r="N23" s="19" t="str">
        <f t="shared" si="1"/>
        <v>02</v>
      </c>
      <c r="O23" s="19">
        <f t="shared" si="2"/>
        <v>24</v>
      </c>
      <c r="P23" s="18" t="str">
        <f t="shared" si="5"/>
        <v>20230224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05</v>
      </c>
      <c r="V23" s="21" t="str">
        <f t="shared" ca="1" si="7"/>
        <v>20221205</v>
      </c>
      <c r="Z23" s="29" t="s">
        <v>799</v>
      </c>
    </row>
    <row r="24" spans="1:36" ht="16.350000000000001" customHeight="1" x14ac:dyDescent="0.2">
      <c r="A24" s="14" t="s">
        <v>229</v>
      </c>
      <c r="B24" s="60">
        <v>1021870</v>
      </c>
      <c r="C24" s="15" t="s">
        <v>256</v>
      </c>
      <c r="D24" s="15" t="s">
        <v>161</v>
      </c>
      <c r="E24" s="15" t="s">
        <v>235</v>
      </c>
      <c r="F24" s="33">
        <v>44250</v>
      </c>
      <c r="G24" s="17">
        <f>F24+731</f>
        <v>44981</v>
      </c>
      <c r="H24" s="15" t="s">
        <v>14</v>
      </c>
      <c r="I24" s="15" t="s">
        <v>13</v>
      </c>
      <c r="J24" s="54"/>
      <c r="L24" s="18" t="s">
        <v>2</v>
      </c>
      <c r="M24" s="19">
        <f t="shared" si="0"/>
        <v>2023</v>
      </c>
      <c r="N24" s="19" t="str">
        <f t="shared" si="1"/>
        <v>02</v>
      </c>
      <c r="O24" s="19">
        <f t="shared" si="2"/>
        <v>24</v>
      </c>
      <c r="P24" s="18" t="str">
        <f t="shared" si="5"/>
        <v>20230224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05</v>
      </c>
      <c r="V24" s="21" t="str">
        <f t="shared" ca="1" si="7"/>
        <v>20221205</v>
      </c>
      <c r="Z24" s="6" t="s">
        <v>799</v>
      </c>
    </row>
    <row r="25" spans="1:36" ht="16.350000000000001" customHeight="1" x14ac:dyDescent="0.2">
      <c r="A25" s="14" t="s">
        <v>309</v>
      </c>
      <c r="B25" s="60" t="s">
        <v>310</v>
      </c>
      <c r="C25" s="15" t="s">
        <v>311</v>
      </c>
      <c r="D25" s="15" t="s">
        <v>161</v>
      </c>
      <c r="E25" s="15" t="s">
        <v>174</v>
      </c>
      <c r="F25" s="33">
        <v>44250</v>
      </c>
      <c r="G25" s="17">
        <f>F25+731</f>
        <v>44981</v>
      </c>
      <c r="H25" s="15" t="s">
        <v>14</v>
      </c>
      <c r="I25" s="15" t="s">
        <v>19</v>
      </c>
      <c r="J25" s="54"/>
      <c r="L25" s="18" t="s">
        <v>2</v>
      </c>
      <c r="M25" s="19">
        <f t="shared" si="0"/>
        <v>2023</v>
      </c>
      <c r="N25" s="19" t="str">
        <f t="shared" si="1"/>
        <v>02</v>
      </c>
      <c r="O25" s="19">
        <f t="shared" si="2"/>
        <v>24</v>
      </c>
      <c r="P25" s="18" t="str">
        <f t="shared" si="5"/>
        <v>20230224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05</v>
      </c>
      <c r="V25" s="21" t="str">
        <f t="shared" ca="1" si="7"/>
        <v>20221205</v>
      </c>
      <c r="Z25" s="29" t="s">
        <v>799</v>
      </c>
    </row>
    <row r="26" spans="1:36" ht="16.350000000000001" customHeight="1" x14ac:dyDescent="0.2">
      <c r="A26" s="14" t="s">
        <v>312</v>
      </c>
      <c r="B26" s="60" t="s">
        <v>313</v>
      </c>
      <c r="C26" s="15" t="s">
        <v>314</v>
      </c>
      <c r="D26" s="15" t="s">
        <v>161</v>
      </c>
      <c r="E26" s="32" t="s">
        <v>174</v>
      </c>
      <c r="F26" s="33" t="s">
        <v>602</v>
      </c>
      <c r="G26" s="17" t="s">
        <v>603</v>
      </c>
      <c r="H26" s="32" t="s">
        <v>14</v>
      </c>
      <c r="I26" s="32" t="s">
        <v>19</v>
      </c>
      <c r="J26" s="54" t="s">
        <v>601</v>
      </c>
      <c r="L26" s="18" t="s">
        <v>2</v>
      </c>
      <c r="M26" s="19">
        <f t="shared" si="0"/>
        <v>2023</v>
      </c>
      <c r="N26" s="19" t="str">
        <f t="shared" si="1"/>
        <v>02</v>
      </c>
      <c r="O26" s="19">
        <f t="shared" si="2"/>
        <v>24</v>
      </c>
      <c r="P26" s="18" t="str">
        <f t="shared" si="5"/>
        <v>20230224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05</v>
      </c>
      <c r="V26" s="21" t="str">
        <f t="shared" ca="1" si="7"/>
        <v>20221205</v>
      </c>
      <c r="Z26" s="6" t="s">
        <v>799</v>
      </c>
    </row>
    <row r="27" spans="1:36" ht="16.350000000000001" customHeight="1" x14ac:dyDescent="0.2">
      <c r="A27" s="14" t="s">
        <v>261</v>
      </c>
      <c r="B27" s="60">
        <v>61300844</v>
      </c>
      <c r="C27" s="15" t="s">
        <v>399</v>
      </c>
      <c r="D27" s="15" t="s">
        <v>161</v>
      </c>
      <c r="E27" s="15" t="s">
        <v>91</v>
      </c>
      <c r="F27" s="33">
        <v>44257</v>
      </c>
      <c r="G27" s="17">
        <f t="shared" ref="G27:G33" si="8">F27+731</f>
        <v>44988</v>
      </c>
      <c r="H27" s="15" t="s">
        <v>14</v>
      </c>
      <c r="I27" s="32" t="s">
        <v>395</v>
      </c>
      <c r="J27" s="54"/>
      <c r="L27" s="18" t="s">
        <v>2</v>
      </c>
      <c r="M27" s="19">
        <f t="shared" si="0"/>
        <v>2023</v>
      </c>
      <c r="N27" s="19" t="str">
        <f t="shared" si="1"/>
        <v>03</v>
      </c>
      <c r="O27" s="19" t="str">
        <f t="shared" si="2"/>
        <v>03</v>
      </c>
      <c r="P27" s="18" t="str">
        <f t="shared" si="5"/>
        <v>20230303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05</v>
      </c>
      <c r="V27" s="21" t="str">
        <f t="shared" ca="1" si="7"/>
        <v>20221205</v>
      </c>
      <c r="Z27" s="29" t="s">
        <v>799</v>
      </c>
    </row>
    <row r="28" spans="1:36" ht="16.350000000000001" customHeight="1" x14ac:dyDescent="0.2">
      <c r="A28" s="14" t="s">
        <v>262</v>
      </c>
      <c r="B28" s="60">
        <v>61300844</v>
      </c>
      <c r="C28" s="15" t="s">
        <v>400</v>
      </c>
      <c r="D28" s="15" t="s">
        <v>161</v>
      </c>
      <c r="E28" s="15" t="s">
        <v>91</v>
      </c>
      <c r="F28" s="33">
        <v>44257</v>
      </c>
      <c r="G28" s="17">
        <f t="shared" si="8"/>
        <v>44988</v>
      </c>
      <c r="H28" s="15" t="s">
        <v>14</v>
      </c>
      <c r="I28" s="32" t="s">
        <v>395</v>
      </c>
      <c r="J28" s="54"/>
      <c r="L28" s="18" t="s">
        <v>2</v>
      </c>
      <c r="M28" s="19">
        <f t="shared" si="0"/>
        <v>2023</v>
      </c>
      <c r="N28" s="19" t="str">
        <f t="shared" si="1"/>
        <v>03</v>
      </c>
      <c r="O28" s="19" t="str">
        <f t="shared" si="2"/>
        <v>03</v>
      </c>
      <c r="P28" s="18" t="str">
        <f t="shared" si="5"/>
        <v>20230303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05</v>
      </c>
      <c r="V28" s="21" t="str">
        <f t="shared" ca="1" si="7"/>
        <v>20221205</v>
      </c>
      <c r="Z28" s="6" t="s">
        <v>799</v>
      </c>
    </row>
    <row r="29" spans="1:36" ht="16.350000000000001" customHeight="1" x14ac:dyDescent="0.2">
      <c r="A29" s="14" t="s">
        <v>263</v>
      </c>
      <c r="B29" s="60">
        <v>61300844</v>
      </c>
      <c r="C29" s="15" t="s">
        <v>401</v>
      </c>
      <c r="D29" s="15" t="s">
        <v>161</v>
      </c>
      <c r="E29" s="15" t="s">
        <v>91</v>
      </c>
      <c r="F29" s="33">
        <v>44257</v>
      </c>
      <c r="G29" s="17">
        <f t="shared" si="8"/>
        <v>44988</v>
      </c>
      <c r="H29" s="15" t="s">
        <v>14</v>
      </c>
      <c r="I29" s="32" t="s">
        <v>395</v>
      </c>
      <c r="J29" s="54"/>
      <c r="L29" s="18" t="s">
        <v>2</v>
      </c>
      <c r="M29" s="19">
        <f t="shared" si="0"/>
        <v>2023</v>
      </c>
      <c r="N29" s="19" t="str">
        <f t="shared" si="1"/>
        <v>03</v>
      </c>
      <c r="O29" s="19" t="str">
        <f t="shared" si="2"/>
        <v>03</v>
      </c>
      <c r="P29" s="18" t="str">
        <f t="shared" si="5"/>
        <v>20230303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05</v>
      </c>
      <c r="V29" s="21" t="str">
        <f t="shared" ca="1" si="7"/>
        <v>20221205</v>
      </c>
      <c r="Z29" s="29" t="s">
        <v>799</v>
      </c>
    </row>
    <row r="30" spans="1:36" ht="16.350000000000001" customHeight="1" x14ac:dyDescent="0.2">
      <c r="A30" s="14" t="s">
        <v>318</v>
      </c>
      <c r="B30" s="60">
        <v>5261936</v>
      </c>
      <c r="C30" s="15" t="s">
        <v>204</v>
      </c>
      <c r="D30" s="15" t="s">
        <v>161</v>
      </c>
      <c r="E30" s="32" t="s">
        <v>22</v>
      </c>
      <c r="F30" s="33">
        <v>44257</v>
      </c>
      <c r="G30" s="17">
        <f t="shared" si="8"/>
        <v>44988</v>
      </c>
      <c r="H30" s="15" t="s">
        <v>14</v>
      </c>
      <c r="I30" s="15" t="s">
        <v>13</v>
      </c>
      <c r="J30" s="54"/>
      <c r="L30" s="18" t="s">
        <v>2</v>
      </c>
      <c r="M30" s="19">
        <f t="shared" si="0"/>
        <v>2023</v>
      </c>
      <c r="N30" s="19" t="str">
        <f t="shared" si="1"/>
        <v>03</v>
      </c>
      <c r="O30" s="19" t="str">
        <f t="shared" si="2"/>
        <v>03</v>
      </c>
      <c r="P30" s="18" t="str">
        <f t="shared" si="5"/>
        <v>20230303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05</v>
      </c>
      <c r="V30" s="21" t="str">
        <f t="shared" ca="1" si="7"/>
        <v>20221205</v>
      </c>
      <c r="Z30" s="6" t="s">
        <v>799</v>
      </c>
    </row>
    <row r="31" spans="1:36" ht="16.350000000000001" customHeight="1" x14ac:dyDescent="0.2">
      <c r="A31" s="14" t="s">
        <v>319</v>
      </c>
      <c r="B31" s="60">
        <v>5261937</v>
      </c>
      <c r="C31" s="15" t="s">
        <v>207</v>
      </c>
      <c r="D31" s="15" t="s">
        <v>161</v>
      </c>
      <c r="E31" s="32" t="s">
        <v>22</v>
      </c>
      <c r="F31" s="33">
        <v>44257</v>
      </c>
      <c r="G31" s="17">
        <f t="shared" si="8"/>
        <v>44988</v>
      </c>
      <c r="H31" s="15" t="s">
        <v>14</v>
      </c>
      <c r="I31" s="15" t="s">
        <v>13</v>
      </c>
      <c r="J31" s="54"/>
      <c r="L31" s="18" t="s">
        <v>2</v>
      </c>
      <c r="M31" s="19">
        <f t="shared" si="0"/>
        <v>2023</v>
      </c>
      <c r="N31" s="19" t="str">
        <f t="shared" si="1"/>
        <v>03</v>
      </c>
      <c r="O31" s="19" t="str">
        <f t="shared" si="2"/>
        <v>03</v>
      </c>
      <c r="P31" s="18" t="str">
        <f t="shared" si="5"/>
        <v>20230303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05</v>
      </c>
      <c r="V31" s="21" t="str">
        <f t="shared" ca="1" si="7"/>
        <v>20221205</v>
      </c>
      <c r="Z31" s="29" t="s">
        <v>799</v>
      </c>
    </row>
    <row r="32" spans="1:36" ht="16.350000000000001" customHeight="1" x14ac:dyDescent="0.2">
      <c r="A32" s="14" t="s">
        <v>320</v>
      </c>
      <c r="B32" s="60" t="s">
        <v>321</v>
      </c>
      <c r="C32" s="15" t="s">
        <v>322</v>
      </c>
      <c r="D32" s="15" t="s">
        <v>161</v>
      </c>
      <c r="E32" s="32" t="s">
        <v>393</v>
      </c>
      <c r="F32" s="33">
        <v>44257</v>
      </c>
      <c r="G32" s="17">
        <f t="shared" si="8"/>
        <v>44988</v>
      </c>
      <c r="H32" s="15" t="s">
        <v>14</v>
      </c>
      <c r="I32" s="15" t="s">
        <v>13</v>
      </c>
      <c r="J32" s="54"/>
      <c r="L32" s="18" t="s">
        <v>2</v>
      </c>
      <c r="M32" s="19">
        <f t="shared" si="0"/>
        <v>2023</v>
      </c>
      <c r="N32" s="19" t="str">
        <f t="shared" si="1"/>
        <v>03</v>
      </c>
      <c r="O32" s="19" t="str">
        <f t="shared" si="2"/>
        <v>03</v>
      </c>
      <c r="P32" s="18" t="str">
        <f t="shared" si="5"/>
        <v>20230303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05</v>
      </c>
      <c r="V32" s="21" t="str">
        <f t="shared" ca="1" si="7"/>
        <v>20221205</v>
      </c>
      <c r="Z32" s="6" t="s">
        <v>799</v>
      </c>
    </row>
    <row r="33" spans="1:26" ht="16.350000000000001" customHeight="1" x14ac:dyDescent="0.2">
      <c r="A33" s="14" t="s">
        <v>323</v>
      </c>
      <c r="B33" s="60" t="s">
        <v>71</v>
      </c>
      <c r="C33" s="15" t="s">
        <v>72</v>
      </c>
      <c r="D33" s="15" t="s">
        <v>161</v>
      </c>
      <c r="E33" s="15" t="s">
        <v>22</v>
      </c>
      <c r="F33" s="33">
        <v>44257</v>
      </c>
      <c r="G33" s="17">
        <f t="shared" si="8"/>
        <v>44988</v>
      </c>
      <c r="H33" s="15" t="s">
        <v>14</v>
      </c>
      <c r="I33" s="15" t="s">
        <v>395</v>
      </c>
      <c r="J33" s="54"/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03</v>
      </c>
      <c r="P33" s="18" t="str">
        <f t="shared" si="5"/>
        <v>20230303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05</v>
      </c>
      <c r="V33" s="21" t="str">
        <f t="shared" ca="1" si="7"/>
        <v>20221205</v>
      </c>
      <c r="Z33" s="29" t="s">
        <v>799</v>
      </c>
    </row>
    <row r="34" spans="1:26" ht="16.350000000000001" customHeight="1" x14ac:dyDescent="0.2">
      <c r="A34" s="14" t="s">
        <v>9</v>
      </c>
      <c r="B34" s="59">
        <v>58900196</v>
      </c>
      <c r="C34" s="15" t="s">
        <v>11</v>
      </c>
      <c r="D34" s="15" t="s">
        <v>158</v>
      </c>
      <c r="E34" s="15" t="s">
        <v>10</v>
      </c>
      <c r="F34" s="16">
        <v>44264</v>
      </c>
      <c r="G34" s="17">
        <v>44994</v>
      </c>
      <c r="H34" s="15" t="s">
        <v>14</v>
      </c>
      <c r="I34" s="15" t="s">
        <v>12</v>
      </c>
      <c r="J34" s="54" t="s">
        <v>4</v>
      </c>
      <c r="L34" s="18" t="s">
        <v>2</v>
      </c>
      <c r="M34" s="19">
        <f t="shared" si="0"/>
        <v>2023</v>
      </c>
      <c r="N34" s="19" t="str">
        <f t="shared" si="1"/>
        <v>03</v>
      </c>
      <c r="O34" s="19" t="str">
        <f t="shared" si="2"/>
        <v>09</v>
      </c>
      <c r="P34" s="18" t="str">
        <f t="shared" si="5"/>
        <v>20230309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05</v>
      </c>
      <c r="V34" s="21" t="str">
        <f t="shared" ca="1" si="7"/>
        <v>20221205</v>
      </c>
      <c r="Z34" s="29" t="s">
        <v>799</v>
      </c>
    </row>
    <row r="35" spans="1:26" ht="16.350000000000001" customHeight="1" x14ac:dyDescent="0.2">
      <c r="A35" s="14" t="s">
        <v>70</v>
      </c>
      <c r="B35" s="60" t="s">
        <v>71</v>
      </c>
      <c r="C35" s="15" t="s">
        <v>72</v>
      </c>
      <c r="D35" s="15" t="s">
        <v>158</v>
      </c>
      <c r="E35" s="15" t="s">
        <v>22</v>
      </c>
      <c r="F35" s="16">
        <v>44263</v>
      </c>
      <c r="G35" s="17">
        <v>44994</v>
      </c>
      <c r="H35" s="15" t="s">
        <v>14</v>
      </c>
      <c r="I35" s="15" t="s">
        <v>19</v>
      </c>
      <c r="J35" s="54" t="s">
        <v>4</v>
      </c>
      <c r="L35" s="18" t="s">
        <v>2</v>
      </c>
      <c r="M35" s="19">
        <f t="shared" si="0"/>
        <v>2023</v>
      </c>
      <c r="N35" s="19" t="str">
        <f t="shared" si="1"/>
        <v>03</v>
      </c>
      <c r="O35" s="19" t="str">
        <f t="shared" si="2"/>
        <v>09</v>
      </c>
      <c r="P35" s="18" t="str">
        <f t="shared" si="5"/>
        <v>20230309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05</v>
      </c>
      <c r="V35" s="21" t="str">
        <f t="shared" ca="1" si="7"/>
        <v>20221205</v>
      </c>
      <c r="Z35" s="29" t="s">
        <v>799</v>
      </c>
    </row>
    <row r="36" spans="1:26" ht="16.350000000000001" customHeight="1" x14ac:dyDescent="0.2">
      <c r="A36" s="14" t="s">
        <v>503</v>
      </c>
      <c r="B36" s="59" t="s">
        <v>800</v>
      </c>
      <c r="C36" s="15" t="s">
        <v>500</v>
      </c>
      <c r="D36" s="15" t="s">
        <v>482</v>
      </c>
      <c r="E36" s="15" t="s">
        <v>430</v>
      </c>
      <c r="F36" s="16" t="s">
        <v>501</v>
      </c>
      <c r="G36" s="17" t="s">
        <v>502</v>
      </c>
      <c r="H36" s="15" t="s">
        <v>14</v>
      </c>
      <c r="I36" s="15" t="s">
        <v>23</v>
      </c>
      <c r="J36" s="54" t="s">
        <v>4</v>
      </c>
      <c r="L36" s="18" t="s">
        <v>2</v>
      </c>
      <c r="M36" s="19">
        <f t="shared" si="0"/>
        <v>2023</v>
      </c>
      <c r="N36" s="19" t="str">
        <f t="shared" si="1"/>
        <v>03</v>
      </c>
      <c r="O36" s="19" t="str">
        <f t="shared" si="2"/>
        <v>09</v>
      </c>
      <c r="P36" s="18" t="str">
        <f t="shared" si="5"/>
        <v>20230309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05</v>
      </c>
      <c r="V36" s="21" t="str">
        <f t="shared" ca="1" si="7"/>
        <v>20221205</v>
      </c>
      <c r="Z36" s="6" t="s">
        <v>799</v>
      </c>
    </row>
    <row r="37" spans="1:26" ht="16.350000000000001" customHeight="1" x14ac:dyDescent="0.2">
      <c r="A37" s="14" t="s">
        <v>504</v>
      </c>
      <c r="B37" s="59">
        <v>161504440</v>
      </c>
      <c r="C37" s="15" t="s">
        <v>505</v>
      </c>
      <c r="D37" s="15" t="s">
        <v>482</v>
      </c>
      <c r="E37" s="15" t="s">
        <v>430</v>
      </c>
      <c r="F37" s="16" t="s">
        <v>501</v>
      </c>
      <c r="G37" s="17" t="s">
        <v>502</v>
      </c>
      <c r="H37" s="15" t="s">
        <v>14</v>
      </c>
      <c r="I37" s="15" t="s">
        <v>19</v>
      </c>
      <c r="J37" s="54" t="s">
        <v>506</v>
      </c>
      <c r="L37" s="18" t="s">
        <v>2</v>
      </c>
      <c r="M37" s="19">
        <f t="shared" si="0"/>
        <v>2023</v>
      </c>
      <c r="N37" s="19" t="str">
        <f t="shared" si="1"/>
        <v>03</v>
      </c>
      <c r="O37" s="19" t="str">
        <f t="shared" si="2"/>
        <v>09</v>
      </c>
      <c r="P37" s="18" t="str">
        <f t="shared" si="5"/>
        <v>20230309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05</v>
      </c>
      <c r="V37" s="21" t="str">
        <f t="shared" ca="1" si="7"/>
        <v>20221205</v>
      </c>
      <c r="Z37" s="29" t="s">
        <v>799</v>
      </c>
    </row>
    <row r="38" spans="1:26" ht="16.350000000000001" customHeight="1" x14ac:dyDescent="0.2">
      <c r="A38" s="14" t="s">
        <v>265</v>
      </c>
      <c r="B38" s="60">
        <v>61300844</v>
      </c>
      <c r="C38" s="15" t="s">
        <v>398</v>
      </c>
      <c r="D38" s="15" t="s">
        <v>161</v>
      </c>
      <c r="E38" s="32" t="s">
        <v>91</v>
      </c>
      <c r="F38" s="33">
        <v>44263</v>
      </c>
      <c r="G38" s="17">
        <f>F38+731</f>
        <v>44994</v>
      </c>
      <c r="H38" s="15" t="s">
        <v>14</v>
      </c>
      <c r="I38" s="15" t="s">
        <v>19</v>
      </c>
      <c r="J38" s="54"/>
      <c r="L38" s="18" t="s">
        <v>2</v>
      </c>
      <c r="M38" s="19">
        <f t="shared" si="0"/>
        <v>2023</v>
      </c>
      <c r="N38" s="19" t="str">
        <f t="shared" si="1"/>
        <v>03</v>
      </c>
      <c r="O38" s="19" t="str">
        <f t="shared" si="2"/>
        <v>09</v>
      </c>
      <c r="P38" s="18" t="str">
        <f t="shared" si="5"/>
        <v>20230309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05</v>
      </c>
      <c r="V38" s="21" t="str">
        <f t="shared" ca="1" si="7"/>
        <v>20221205</v>
      </c>
      <c r="Z38" s="6" t="s">
        <v>799</v>
      </c>
    </row>
    <row r="39" spans="1:26" ht="16.350000000000001" customHeight="1" x14ac:dyDescent="0.2">
      <c r="A39" s="14" t="s">
        <v>315</v>
      </c>
      <c r="B39" s="60">
        <v>5267903</v>
      </c>
      <c r="C39" s="15" t="s">
        <v>316</v>
      </c>
      <c r="D39" s="15" t="s">
        <v>161</v>
      </c>
      <c r="E39" s="32" t="s">
        <v>22</v>
      </c>
      <c r="F39" s="33">
        <v>44263</v>
      </c>
      <c r="G39" s="17">
        <f>F39+731</f>
        <v>44994</v>
      </c>
      <c r="H39" s="32" t="s">
        <v>14</v>
      </c>
      <c r="I39" s="32" t="s">
        <v>19</v>
      </c>
      <c r="J39" s="54"/>
      <c r="L39" s="18" t="s">
        <v>2</v>
      </c>
      <c r="M39" s="19">
        <f t="shared" si="0"/>
        <v>2023</v>
      </c>
      <c r="N39" s="19" t="str">
        <f t="shared" si="1"/>
        <v>03</v>
      </c>
      <c r="O39" s="19" t="str">
        <f t="shared" si="2"/>
        <v>09</v>
      </c>
      <c r="P39" s="18" t="str">
        <f t="shared" si="5"/>
        <v>20230309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05</v>
      </c>
      <c r="V39" s="21" t="str">
        <f t="shared" ca="1" si="7"/>
        <v>20221205</v>
      </c>
      <c r="Z39" s="29" t="s">
        <v>799</v>
      </c>
    </row>
    <row r="40" spans="1:26" ht="16.350000000000001" hidden="1" customHeight="1" x14ac:dyDescent="0.2">
      <c r="A40" s="14" t="s">
        <v>499</v>
      </c>
      <c r="B40" s="59" t="s">
        <v>800</v>
      </c>
      <c r="C40" s="15" t="s">
        <v>500</v>
      </c>
      <c r="D40" s="15" t="s">
        <v>482</v>
      </c>
      <c r="E40" s="15" t="s">
        <v>430</v>
      </c>
      <c r="F40" s="16" t="s">
        <v>501</v>
      </c>
      <c r="G40" s="17" t="s">
        <v>502</v>
      </c>
      <c r="H40" s="15" t="s">
        <v>14</v>
      </c>
      <c r="I40" s="15" t="s">
        <v>518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05</v>
      </c>
      <c r="V40" s="21" t="str">
        <f t="shared" ca="1" si="7"/>
        <v>20221205</v>
      </c>
      <c r="Z40" s="6" t="s">
        <v>627</v>
      </c>
    </row>
    <row r="41" spans="1:26" ht="16.350000000000001" customHeight="1" x14ac:dyDescent="0.2">
      <c r="A41" s="14" t="s">
        <v>317</v>
      </c>
      <c r="B41" s="60">
        <v>61300844</v>
      </c>
      <c r="C41" s="15" t="s">
        <v>398</v>
      </c>
      <c r="D41" s="15" t="s">
        <v>161</v>
      </c>
      <c r="E41" s="15" t="s">
        <v>91</v>
      </c>
      <c r="F41" s="33">
        <v>44263</v>
      </c>
      <c r="G41" s="17">
        <f>F41+731</f>
        <v>44994</v>
      </c>
      <c r="H41" s="32" t="s">
        <v>14</v>
      </c>
      <c r="I41" s="15" t="s">
        <v>19</v>
      </c>
      <c r="J41" s="54"/>
      <c r="L41" s="18" t="s">
        <v>2</v>
      </c>
      <c r="M41" s="19">
        <f t="shared" si="0"/>
        <v>2023</v>
      </c>
      <c r="N41" s="19" t="str">
        <f t="shared" si="1"/>
        <v>03</v>
      </c>
      <c r="O41" s="19" t="str">
        <f t="shared" si="2"/>
        <v>09</v>
      </c>
      <c r="P41" s="18" t="str">
        <f t="shared" si="5"/>
        <v>20230309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05</v>
      </c>
      <c r="V41" s="21" t="str">
        <f t="shared" ca="1" si="7"/>
        <v>20221205</v>
      </c>
      <c r="Z41" s="29" t="s">
        <v>799</v>
      </c>
    </row>
    <row r="42" spans="1:26" ht="16.350000000000001" customHeight="1" x14ac:dyDescent="0.2">
      <c r="A42" s="14" t="s">
        <v>324</v>
      </c>
      <c r="B42" s="60" t="s">
        <v>325</v>
      </c>
      <c r="C42" s="15" t="s">
        <v>326</v>
      </c>
      <c r="D42" s="15" t="s">
        <v>161</v>
      </c>
      <c r="E42" s="15" t="s">
        <v>179</v>
      </c>
      <c r="F42" s="33">
        <v>44263</v>
      </c>
      <c r="G42" s="17">
        <f>F42+731</f>
        <v>44994</v>
      </c>
      <c r="H42" s="15" t="s">
        <v>14</v>
      </c>
      <c r="I42" s="15" t="s">
        <v>19</v>
      </c>
      <c r="J42" s="54"/>
      <c r="L42" s="18" t="s">
        <v>2</v>
      </c>
      <c r="M42" s="19">
        <f t="shared" si="0"/>
        <v>2023</v>
      </c>
      <c r="N42" s="19" t="str">
        <f t="shared" si="1"/>
        <v>03</v>
      </c>
      <c r="O42" s="19" t="str">
        <f t="shared" si="2"/>
        <v>09</v>
      </c>
      <c r="P42" s="18" t="str">
        <f t="shared" si="5"/>
        <v>20230309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05</v>
      </c>
      <c r="V42" s="21" t="str">
        <f t="shared" ca="1" si="7"/>
        <v>20221205</v>
      </c>
      <c r="Z42" s="6" t="s">
        <v>799</v>
      </c>
    </row>
    <row r="43" spans="1:26" ht="16.350000000000001" customHeight="1" x14ac:dyDescent="0.2">
      <c r="A43" s="14" t="s">
        <v>327</v>
      </c>
      <c r="B43" s="60" t="s">
        <v>328</v>
      </c>
      <c r="C43" s="15" t="s">
        <v>329</v>
      </c>
      <c r="D43" s="15" t="s">
        <v>161</v>
      </c>
      <c r="E43" s="15" t="s">
        <v>179</v>
      </c>
      <c r="F43" s="33">
        <v>44263</v>
      </c>
      <c r="G43" s="17">
        <f>F43+731</f>
        <v>44994</v>
      </c>
      <c r="H43" s="15" t="s">
        <v>14</v>
      </c>
      <c r="I43" s="15" t="s">
        <v>19</v>
      </c>
      <c r="J43" s="54"/>
      <c r="L43" s="18" t="s">
        <v>2</v>
      </c>
      <c r="M43" s="19">
        <f t="shared" si="0"/>
        <v>2023</v>
      </c>
      <c r="N43" s="19" t="str">
        <f t="shared" si="1"/>
        <v>03</v>
      </c>
      <c r="O43" s="19" t="str">
        <f t="shared" si="2"/>
        <v>09</v>
      </c>
      <c r="P43" s="18" t="str">
        <f t="shared" si="5"/>
        <v>20230309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05</v>
      </c>
      <c r="V43" s="21" t="str">
        <f t="shared" ca="1" si="7"/>
        <v>20221205</v>
      </c>
      <c r="Z43" s="29" t="s">
        <v>799</v>
      </c>
    </row>
    <row r="44" spans="1:26" ht="16.350000000000001" customHeight="1" x14ac:dyDescent="0.2">
      <c r="A44" s="14" t="s">
        <v>330</v>
      </c>
      <c r="B44" s="60" t="s">
        <v>331</v>
      </c>
      <c r="C44" s="15" t="s">
        <v>332</v>
      </c>
      <c r="D44" s="15" t="s">
        <v>161</v>
      </c>
      <c r="E44" s="15" t="s">
        <v>179</v>
      </c>
      <c r="F44" s="33">
        <v>44263</v>
      </c>
      <c r="G44" s="17">
        <f>F44+731</f>
        <v>44994</v>
      </c>
      <c r="H44" s="15" t="s">
        <v>14</v>
      </c>
      <c r="I44" s="15" t="s">
        <v>19</v>
      </c>
      <c r="J44" s="54"/>
      <c r="L44" s="18" t="s">
        <v>2</v>
      </c>
      <c r="M44" s="19">
        <f t="shared" si="0"/>
        <v>2023</v>
      </c>
      <c r="N44" s="19" t="str">
        <f t="shared" si="1"/>
        <v>03</v>
      </c>
      <c r="O44" s="19" t="str">
        <f t="shared" si="2"/>
        <v>09</v>
      </c>
      <c r="P44" s="18" t="str">
        <f t="shared" si="5"/>
        <v>20230309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05</v>
      </c>
      <c r="V44" s="21" t="str">
        <f t="shared" ca="1" si="7"/>
        <v>20221205</v>
      </c>
      <c r="Z44" s="6" t="s">
        <v>799</v>
      </c>
    </row>
    <row r="45" spans="1:26" ht="16.350000000000001" customHeight="1" x14ac:dyDescent="0.2">
      <c r="A45" s="14" t="s">
        <v>15</v>
      </c>
      <c r="B45" s="59">
        <v>58900216</v>
      </c>
      <c r="C45" s="15" t="s">
        <v>16</v>
      </c>
      <c r="D45" s="15" t="s">
        <v>158</v>
      </c>
      <c r="E45" s="15" t="s">
        <v>10</v>
      </c>
      <c r="F45" s="16">
        <v>44264</v>
      </c>
      <c r="G45" s="17">
        <v>44995</v>
      </c>
      <c r="H45" s="15" t="s">
        <v>14</v>
      </c>
      <c r="I45" s="15" t="s">
        <v>13</v>
      </c>
      <c r="J45" s="54" t="s">
        <v>4</v>
      </c>
      <c r="L45" s="18" t="s">
        <v>2</v>
      </c>
      <c r="M45" s="19">
        <f t="shared" si="0"/>
        <v>2023</v>
      </c>
      <c r="N45" s="19" t="str">
        <f t="shared" si="1"/>
        <v>03</v>
      </c>
      <c r="O45" s="19">
        <f t="shared" si="2"/>
        <v>10</v>
      </c>
      <c r="P45" s="18" t="str">
        <f t="shared" si="5"/>
        <v>20230310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05</v>
      </c>
      <c r="V45" s="21" t="str">
        <f t="shared" ca="1" si="7"/>
        <v>20221205</v>
      </c>
      <c r="Z45" s="29" t="s">
        <v>799</v>
      </c>
    </row>
    <row r="46" spans="1:26" ht="16.350000000000001" customHeight="1" x14ac:dyDescent="0.2">
      <c r="A46" s="14" t="s">
        <v>17</v>
      </c>
      <c r="B46" s="59">
        <v>58900194</v>
      </c>
      <c r="C46" s="15" t="s">
        <v>18</v>
      </c>
      <c r="D46" s="15" t="s">
        <v>158</v>
      </c>
      <c r="E46" s="15" t="s">
        <v>10</v>
      </c>
      <c r="F46" s="16">
        <v>44264</v>
      </c>
      <c r="G46" s="17">
        <v>44995</v>
      </c>
      <c r="H46" s="15" t="s">
        <v>14</v>
      </c>
      <c r="I46" s="15" t="s">
        <v>19</v>
      </c>
      <c r="J46" s="54" t="s">
        <v>4</v>
      </c>
      <c r="L46" s="18" t="s">
        <v>2</v>
      </c>
      <c r="M46" s="19">
        <f t="shared" si="0"/>
        <v>2023</v>
      </c>
      <c r="N46" s="19" t="str">
        <f t="shared" si="1"/>
        <v>03</v>
      </c>
      <c r="O46" s="19">
        <f t="shared" si="2"/>
        <v>10</v>
      </c>
      <c r="P46" s="18" t="str">
        <f t="shared" si="5"/>
        <v>20230310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05</v>
      </c>
      <c r="V46" s="21" t="str">
        <f t="shared" ca="1" si="7"/>
        <v>20221205</v>
      </c>
      <c r="Z46" s="6" t="s">
        <v>799</v>
      </c>
    </row>
    <row r="47" spans="1:26" ht="16.350000000000001" customHeight="1" x14ac:dyDescent="0.2">
      <c r="A47" s="14" t="s">
        <v>455</v>
      </c>
      <c r="B47" s="60" t="s">
        <v>456</v>
      </c>
      <c r="C47" s="15" t="s">
        <v>367</v>
      </c>
      <c r="D47" s="15" t="s">
        <v>438</v>
      </c>
      <c r="E47" s="15" t="s">
        <v>22</v>
      </c>
      <c r="F47" s="16" t="s">
        <v>457</v>
      </c>
      <c r="G47" s="17" t="s">
        <v>458</v>
      </c>
      <c r="H47" s="15" t="s">
        <v>14</v>
      </c>
      <c r="I47" s="15" t="s">
        <v>439</v>
      </c>
      <c r="J47" s="54" t="s">
        <v>773</v>
      </c>
      <c r="L47" s="18" t="s">
        <v>2</v>
      </c>
      <c r="M47" s="19">
        <f t="shared" si="0"/>
        <v>2023</v>
      </c>
      <c r="N47" s="19" t="str">
        <f t="shared" si="1"/>
        <v>03</v>
      </c>
      <c r="O47" s="19">
        <f t="shared" si="2"/>
        <v>23</v>
      </c>
      <c r="P47" s="18" t="str">
        <f t="shared" si="5"/>
        <v>20230323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05</v>
      </c>
      <c r="V47" s="21" t="str">
        <f t="shared" ca="1" si="7"/>
        <v>20221205</v>
      </c>
      <c r="Z47" s="29" t="s">
        <v>799</v>
      </c>
    </row>
    <row r="48" spans="1:26" ht="16.350000000000001" customHeight="1" x14ac:dyDescent="0.2">
      <c r="A48" s="14" t="s">
        <v>471</v>
      </c>
      <c r="B48" s="59">
        <v>302120510</v>
      </c>
      <c r="C48" s="15" t="s">
        <v>467</v>
      </c>
      <c r="D48" s="15" t="s">
        <v>468</v>
      </c>
      <c r="E48" s="15" t="s">
        <v>430</v>
      </c>
      <c r="F48" s="16" t="s">
        <v>472</v>
      </c>
      <c r="G48" s="17" t="s">
        <v>473</v>
      </c>
      <c r="H48" s="15" t="s">
        <v>14</v>
      </c>
      <c r="I48" s="15" t="s">
        <v>138</v>
      </c>
      <c r="J48" s="54" t="s">
        <v>470</v>
      </c>
      <c r="L48" s="18" t="s">
        <v>2</v>
      </c>
      <c r="M48" s="19">
        <f t="shared" si="0"/>
        <v>2023</v>
      </c>
      <c r="N48" s="19" t="str">
        <f t="shared" si="1"/>
        <v>03</v>
      </c>
      <c r="O48" s="19">
        <f t="shared" si="2"/>
        <v>24</v>
      </c>
      <c r="P48" s="18" t="str">
        <f t="shared" si="5"/>
        <v>20230324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05</v>
      </c>
      <c r="V48" s="21" t="str">
        <f t="shared" ca="1" si="7"/>
        <v>20221205</v>
      </c>
      <c r="Z48" s="6" t="s">
        <v>799</v>
      </c>
    </row>
    <row r="49" spans="1:36" ht="16.350000000000001" customHeight="1" x14ac:dyDescent="0.2">
      <c r="A49" s="14" t="s">
        <v>555</v>
      </c>
      <c r="B49" s="60" t="s">
        <v>4</v>
      </c>
      <c r="C49" s="15" t="s">
        <v>556</v>
      </c>
      <c r="D49" s="15" t="s">
        <v>536</v>
      </c>
      <c r="E49" s="15" t="s">
        <v>557</v>
      </c>
      <c r="F49" s="16" t="s">
        <v>668</v>
      </c>
      <c r="G49" s="17" t="s">
        <v>669</v>
      </c>
      <c r="H49" s="15" t="s">
        <v>14</v>
      </c>
      <c r="I49" s="15" t="s">
        <v>557</v>
      </c>
      <c r="J49" s="54" t="s">
        <v>657</v>
      </c>
      <c r="L49" s="18" t="s">
        <v>2</v>
      </c>
      <c r="M49" s="19">
        <f t="shared" si="0"/>
        <v>2023</v>
      </c>
      <c r="N49" s="19" t="str">
        <f t="shared" si="1"/>
        <v>04</v>
      </c>
      <c r="O49" s="19" t="str">
        <f t="shared" si="2"/>
        <v>01</v>
      </c>
      <c r="P49" s="18" t="str">
        <f t="shared" si="5"/>
        <v>20230401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05</v>
      </c>
      <c r="V49" s="21" t="str">
        <f t="shared" ca="1" si="7"/>
        <v>20221205</v>
      </c>
      <c r="Z49" s="29" t="s">
        <v>799</v>
      </c>
    </row>
    <row r="50" spans="1:36" ht="16.350000000000001" customHeight="1" x14ac:dyDescent="0.2">
      <c r="A50" s="14" t="s">
        <v>522</v>
      </c>
      <c r="B50" s="60" t="s">
        <v>4</v>
      </c>
      <c r="C50" s="15" t="s">
        <v>523</v>
      </c>
      <c r="D50" s="15" t="s">
        <v>560</v>
      </c>
      <c r="E50" s="15" t="s">
        <v>430</v>
      </c>
      <c r="F50" s="16" t="s">
        <v>666</v>
      </c>
      <c r="G50" s="17" t="s">
        <v>667</v>
      </c>
      <c r="H50" s="15" t="s">
        <v>14</v>
      </c>
      <c r="I50" s="15" t="s">
        <v>424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12</v>
      </c>
      <c r="P50" s="18" t="str">
        <f t="shared" si="5"/>
        <v>20230412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05</v>
      </c>
      <c r="V50" s="21" t="str">
        <f t="shared" ca="1" si="7"/>
        <v>20221205</v>
      </c>
      <c r="Z50" s="6" t="s">
        <v>799</v>
      </c>
    </row>
    <row r="51" spans="1:36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05</v>
      </c>
      <c r="V51" s="21" t="str">
        <f t="shared" ca="1" si="7"/>
        <v>20221205</v>
      </c>
      <c r="Z51" s="29" t="s">
        <v>627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</row>
    <row r="52" spans="1:36" ht="16.350000000000001" customHeight="1" x14ac:dyDescent="0.2">
      <c r="A52" s="14" t="s">
        <v>565</v>
      </c>
      <c r="B52" s="60" t="s">
        <v>4</v>
      </c>
      <c r="C52" s="15" t="s">
        <v>566</v>
      </c>
      <c r="D52" s="15" t="s">
        <v>572</v>
      </c>
      <c r="E52" s="15" t="s">
        <v>430</v>
      </c>
      <c r="F52" s="16" t="s">
        <v>666</v>
      </c>
      <c r="G52" s="37" t="s">
        <v>667</v>
      </c>
      <c r="H52" s="15" t="s">
        <v>14</v>
      </c>
      <c r="I52" s="15" t="s">
        <v>567</v>
      </c>
      <c r="J52" s="54" t="s">
        <v>4</v>
      </c>
      <c r="L52" s="18" t="s">
        <v>2</v>
      </c>
      <c r="M52" s="19">
        <f t="shared" si="0"/>
        <v>2023</v>
      </c>
      <c r="N52" s="19" t="str">
        <f t="shared" si="1"/>
        <v>04</v>
      </c>
      <c r="O52" s="19">
        <f t="shared" si="2"/>
        <v>12</v>
      </c>
      <c r="P52" s="18" t="str">
        <f t="shared" si="5"/>
        <v>20230412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05</v>
      </c>
      <c r="V52" s="21" t="str">
        <f t="shared" ca="1" si="7"/>
        <v>20221205</v>
      </c>
      <c r="Z52" s="6" t="s">
        <v>799</v>
      </c>
    </row>
    <row r="53" spans="1:36" ht="16.350000000000001" customHeight="1" x14ac:dyDescent="0.2">
      <c r="A53" s="14" t="s">
        <v>105</v>
      </c>
      <c r="B53" s="59">
        <v>5266759</v>
      </c>
      <c r="C53" s="15" t="s">
        <v>106</v>
      </c>
      <c r="D53" s="15" t="s">
        <v>158</v>
      </c>
      <c r="E53" s="15" t="s">
        <v>22</v>
      </c>
      <c r="F53" s="16">
        <v>44300</v>
      </c>
      <c r="G53" s="17">
        <v>45031</v>
      </c>
      <c r="H53" s="15" t="s">
        <v>14</v>
      </c>
      <c r="I53" s="15" t="s">
        <v>19</v>
      </c>
      <c r="J53" s="54" t="s">
        <v>4</v>
      </c>
      <c r="L53" s="18" t="s">
        <v>2</v>
      </c>
      <c r="M53" s="19">
        <f t="shared" si="0"/>
        <v>2023</v>
      </c>
      <c r="N53" s="19" t="str">
        <f t="shared" si="1"/>
        <v>04</v>
      </c>
      <c r="O53" s="19">
        <f t="shared" si="2"/>
        <v>15</v>
      </c>
      <c r="P53" s="18" t="str">
        <f t="shared" si="5"/>
        <v>20230415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05</v>
      </c>
      <c r="V53" s="21" t="str">
        <f t="shared" ca="1" si="7"/>
        <v>20221205</v>
      </c>
      <c r="Z53" s="29" t="s">
        <v>799</v>
      </c>
    </row>
    <row r="54" spans="1:36" ht="16.350000000000001" customHeight="1" x14ac:dyDescent="0.2">
      <c r="A54" s="14" t="s">
        <v>217</v>
      </c>
      <c r="B54" s="60" t="s">
        <v>218</v>
      </c>
      <c r="C54" s="15" t="s">
        <v>252</v>
      </c>
      <c r="D54" s="15" t="s">
        <v>161</v>
      </c>
      <c r="E54" s="15" t="s">
        <v>235</v>
      </c>
      <c r="F54" s="33">
        <v>44300</v>
      </c>
      <c r="G54" s="17">
        <f>F54+731</f>
        <v>45031</v>
      </c>
      <c r="H54" s="32" t="s">
        <v>14</v>
      </c>
      <c r="I54" s="15" t="s">
        <v>19</v>
      </c>
      <c r="J54" s="54"/>
      <c r="L54" s="18" t="s">
        <v>2</v>
      </c>
      <c r="M54" s="19">
        <f t="shared" si="0"/>
        <v>2023</v>
      </c>
      <c r="N54" s="19" t="str">
        <f t="shared" si="1"/>
        <v>04</v>
      </c>
      <c r="O54" s="19">
        <f t="shared" si="2"/>
        <v>15</v>
      </c>
      <c r="P54" s="18" t="str">
        <f t="shared" si="5"/>
        <v>20230415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05</v>
      </c>
      <c r="V54" s="21" t="str">
        <f t="shared" ca="1" si="7"/>
        <v>20221205</v>
      </c>
      <c r="Z54" s="6" t="s">
        <v>799</v>
      </c>
    </row>
    <row r="55" spans="1:36" ht="16.350000000000001" customHeight="1" x14ac:dyDescent="0.2">
      <c r="A55" s="14" t="s">
        <v>220</v>
      </c>
      <c r="B55" s="60" t="s">
        <v>241</v>
      </c>
      <c r="C55" s="15" t="s">
        <v>221</v>
      </c>
      <c r="D55" s="15" t="s">
        <v>161</v>
      </c>
      <c r="E55" s="28" t="s">
        <v>235</v>
      </c>
      <c r="F55" s="33">
        <v>44300</v>
      </c>
      <c r="G55" s="17">
        <f>F55+731</f>
        <v>45031</v>
      </c>
      <c r="H55" s="28" t="s">
        <v>14</v>
      </c>
      <c r="I55" s="15" t="s">
        <v>19</v>
      </c>
      <c r="J55" s="54" t="s">
        <v>240</v>
      </c>
      <c r="L55" s="18" t="s">
        <v>2</v>
      </c>
      <c r="M55" s="19">
        <f t="shared" si="0"/>
        <v>2023</v>
      </c>
      <c r="N55" s="19" t="str">
        <f t="shared" si="1"/>
        <v>04</v>
      </c>
      <c r="O55" s="19">
        <f t="shared" si="2"/>
        <v>15</v>
      </c>
      <c r="P55" s="18" t="str">
        <f t="shared" si="5"/>
        <v>20230415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05</v>
      </c>
      <c r="V55" s="21" t="str">
        <f t="shared" ca="1" si="7"/>
        <v>20221205</v>
      </c>
      <c r="Z55" s="29" t="s">
        <v>799</v>
      </c>
    </row>
    <row r="56" spans="1:36" ht="16.350000000000001" customHeight="1" x14ac:dyDescent="0.2">
      <c r="A56" s="14" t="s">
        <v>306</v>
      </c>
      <c r="B56" s="60" t="s">
        <v>342</v>
      </c>
      <c r="C56" s="15" t="s">
        <v>307</v>
      </c>
      <c r="D56" s="15" t="s">
        <v>161</v>
      </c>
      <c r="E56" s="32" t="s">
        <v>22</v>
      </c>
      <c r="F56" s="33">
        <v>44300</v>
      </c>
      <c r="G56" s="17">
        <f>F56+731</f>
        <v>45031</v>
      </c>
      <c r="H56" s="32" t="s">
        <v>14</v>
      </c>
      <c r="I56" s="15" t="s">
        <v>19</v>
      </c>
      <c r="J56" s="54"/>
      <c r="L56" s="18" t="s">
        <v>2</v>
      </c>
      <c r="M56" s="19">
        <f t="shared" si="0"/>
        <v>2023</v>
      </c>
      <c r="N56" s="19" t="str">
        <f t="shared" si="1"/>
        <v>04</v>
      </c>
      <c r="O56" s="19">
        <f t="shared" si="2"/>
        <v>15</v>
      </c>
      <c r="P56" s="18" t="str">
        <f t="shared" si="5"/>
        <v>20230415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05</v>
      </c>
      <c r="V56" s="21" t="str">
        <f t="shared" ca="1" si="7"/>
        <v>20221205</v>
      </c>
      <c r="Z56" s="6" t="s">
        <v>799</v>
      </c>
    </row>
    <row r="57" spans="1:36" ht="16.350000000000001" customHeight="1" x14ac:dyDescent="0.2">
      <c r="A57" s="14" t="s">
        <v>308</v>
      </c>
      <c r="B57" s="60" t="s">
        <v>124</v>
      </c>
      <c r="C57" s="15" t="s">
        <v>411</v>
      </c>
      <c r="D57" s="15" t="s">
        <v>161</v>
      </c>
      <c r="E57" s="32" t="s">
        <v>22</v>
      </c>
      <c r="F57" s="33">
        <v>44300</v>
      </c>
      <c r="G57" s="17">
        <f>F57+731</f>
        <v>45031</v>
      </c>
      <c r="H57" s="32" t="s">
        <v>14</v>
      </c>
      <c r="I57" s="32" t="s">
        <v>19</v>
      </c>
      <c r="J57" s="54"/>
      <c r="L57" s="18" t="s">
        <v>2</v>
      </c>
      <c r="M57" s="19">
        <f t="shared" si="0"/>
        <v>2023</v>
      </c>
      <c r="N57" s="19" t="str">
        <f t="shared" si="1"/>
        <v>04</v>
      </c>
      <c r="O57" s="19">
        <f t="shared" si="2"/>
        <v>15</v>
      </c>
      <c r="P57" s="18" t="str">
        <f t="shared" si="5"/>
        <v>20230415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05</v>
      </c>
      <c r="V57" s="21" t="str">
        <f t="shared" ca="1" si="7"/>
        <v>20221205</v>
      </c>
      <c r="Z57" s="29" t="s">
        <v>799</v>
      </c>
    </row>
    <row r="58" spans="1:36" ht="16.350000000000001" customHeight="1" x14ac:dyDescent="0.2">
      <c r="A58" s="14" t="s">
        <v>100</v>
      </c>
      <c r="B58" s="60" t="s">
        <v>101</v>
      </c>
      <c r="C58" s="15" t="s">
        <v>102</v>
      </c>
      <c r="D58" s="15" t="s">
        <v>158</v>
      </c>
      <c r="E58" s="15" t="s">
        <v>103</v>
      </c>
      <c r="F58" s="16" t="s">
        <v>637</v>
      </c>
      <c r="G58" s="17" t="s">
        <v>638</v>
      </c>
      <c r="H58" s="15" t="s">
        <v>14</v>
      </c>
      <c r="I58" s="15" t="s">
        <v>19</v>
      </c>
      <c r="J58" s="54" t="s">
        <v>104</v>
      </c>
      <c r="L58" s="18" t="s">
        <v>2</v>
      </c>
      <c r="M58" s="19">
        <f t="shared" si="0"/>
        <v>2023</v>
      </c>
      <c r="N58" s="19" t="str">
        <f t="shared" si="1"/>
        <v>05</v>
      </c>
      <c r="O58" s="19" t="str">
        <f t="shared" si="2"/>
        <v>06</v>
      </c>
      <c r="P58" s="18" t="str">
        <f t="shared" si="5"/>
        <v>20230506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05</v>
      </c>
      <c r="V58" s="21" t="str">
        <f t="shared" ca="1" si="7"/>
        <v>20221205</v>
      </c>
      <c r="Z58" s="6" t="s">
        <v>799</v>
      </c>
    </row>
    <row r="59" spans="1:36" ht="16.350000000000001" customHeight="1" x14ac:dyDescent="0.2">
      <c r="A59" s="14" t="s">
        <v>264</v>
      </c>
      <c r="B59" s="60">
        <v>1021870</v>
      </c>
      <c r="C59" s="15" t="s">
        <v>256</v>
      </c>
      <c r="D59" s="15" t="s">
        <v>161</v>
      </c>
      <c r="E59" s="32" t="s">
        <v>22</v>
      </c>
      <c r="F59" s="33">
        <v>44321</v>
      </c>
      <c r="G59" s="17">
        <f>F59+731</f>
        <v>45052</v>
      </c>
      <c r="H59" s="15" t="s">
        <v>14</v>
      </c>
      <c r="I59" s="32" t="s">
        <v>396</v>
      </c>
      <c r="J59" s="54"/>
      <c r="L59" s="18" t="s">
        <v>2</v>
      </c>
      <c r="M59" s="19">
        <f t="shared" si="0"/>
        <v>2023</v>
      </c>
      <c r="N59" s="19" t="str">
        <f t="shared" si="1"/>
        <v>05</v>
      </c>
      <c r="O59" s="19" t="str">
        <f t="shared" si="2"/>
        <v>06</v>
      </c>
      <c r="P59" s="18" t="str">
        <f t="shared" si="5"/>
        <v>20230506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05</v>
      </c>
      <c r="V59" s="21" t="str">
        <f t="shared" ca="1" si="7"/>
        <v>20221205</v>
      </c>
      <c r="Z59" s="29" t="s">
        <v>799</v>
      </c>
    </row>
    <row r="60" spans="1:36" ht="16.350000000000001" customHeight="1" x14ac:dyDescent="0.2">
      <c r="A60" s="14" t="s">
        <v>36</v>
      </c>
      <c r="B60" s="60" t="s">
        <v>37</v>
      </c>
      <c r="C60" s="15" t="s">
        <v>687</v>
      </c>
      <c r="D60" s="15" t="s">
        <v>158</v>
      </c>
      <c r="E60" s="15" t="s">
        <v>22</v>
      </c>
      <c r="F60" s="16">
        <v>44322</v>
      </c>
      <c r="G60" s="17">
        <v>45053</v>
      </c>
      <c r="H60" s="15" t="s">
        <v>14</v>
      </c>
      <c r="I60" s="15" t="s">
        <v>13</v>
      </c>
      <c r="J60" s="54" t="s">
        <v>4</v>
      </c>
      <c r="L60" s="18" t="s">
        <v>2</v>
      </c>
      <c r="M60" s="19">
        <f t="shared" si="0"/>
        <v>2023</v>
      </c>
      <c r="N60" s="19" t="str">
        <f t="shared" si="1"/>
        <v>05</v>
      </c>
      <c r="O60" s="19" t="str">
        <f t="shared" si="2"/>
        <v>07</v>
      </c>
      <c r="P60" s="18" t="str">
        <f t="shared" si="5"/>
        <v>20230507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05</v>
      </c>
      <c r="V60" s="21" t="str">
        <f t="shared" ca="1" si="7"/>
        <v>20221205</v>
      </c>
      <c r="Z60" s="6" t="s">
        <v>799</v>
      </c>
    </row>
    <row r="61" spans="1:36" ht="16.350000000000001" customHeight="1" x14ac:dyDescent="0.2">
      <c r="A61" s="14" t="s">
        <v>68</v>
      </c>
      <c r="B61" s="59">
        <v>1021870</v>
      </c>
      <c r="C61" s="15" t="s">
        <v>69</v>
      </c>
      <c r="D61" s="15" t="s">
        <v>158</v>
      </c>
      <c r="E61" s="15" t="s">
        <v>22</v>
      </c>
      <c r="F61" s="16">
        <v>44322</v>
      </c>
      <c r="G61" s="17">
        <v>45053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2023</v>
      </c>
      <c r="N61" s="19" t="str">
        <f t="shared" si="1"/>
        <v>05</v>
      </c>
      <c r="O61" s="19" t="str">
        <f t="shared" si="2"/>
        <v>07</v>
      </c>
      <c r="P61" s="18" t="str">
        <f t="shared" si="5"/>
        <v>20230507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05</v>
      </c>
      <c r="V61" s="21" t="str">
        <f t="shared" ca="1" si="7"/>
        <v>20221205</v>
      </c>
      <c r="Z61" s="29" t="s">
        <v>799</v>
      </c>
    </row>
    <row r="62" spans="1:36" ht="16.350000000000001" customHeight="1" x14ac:dyDescent="0.2">
      <c r="A62" s="14" t="s">
        <v>302</v>
      </c>
      <c r="B62" s="60" t="s">
        <v>303</v>
      </c>
      <c r="C62" s="15" t="s">
        <v>304</v>
      </c>
      <c r="D62" s="15" t="s">
        <v>161</v>
      </c>
      <c r="E62" s="32" t="s">
        <v>22</v>
      </c>
      <c r="F62" s="33">
        <v>44322</v>
      </c>
      <c r="G62" s="17">
        <f>F62+731</f>
        <v>45053</v>
      </c>
      <c r="H62" s="32" t="s">
        <v>14</v>
      </c>
      <c r="I62" s="15" t="s">
        <v>13</v>
      </c>
      <c r="J62" s="54"/>
      <c r="L62" s="18" t="s">
        <v>2</v>
      </c>
      <c r="M62" s="19">
        <f t="shared" si="0"/>
        <v>2023</v>
      </c>
      <c r="N62" s="19" t="str">
        <f t="shared" si="1"/>
        <v>05</v>
      </c>
      <c r="O62" s="19" t="str">
        <f t="shared" si="2"/>
        <v>07</v>
      </c>
      <c r="P62" s="18" t="str">
        <f t="shared" si="5"/>
        <v>20230507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05</v>
      </c>
      <c r="V62" s="21" t="str">
        <f t="shared" ca="1" si="7"/>
        <v>20221205</v>
      </c>
      <c r="Z62" s="6" t="s">
        <v>799</v>
      </c>
    </row>
    <row r="63" spans="1:36" ht="16.350000000000001" customHeight="1" x14ac:dyDescent="0.2">
      <c r="A63" s="14" t="s">
        <v>338</v>
      </c>
      <c r="B63" s="60" t="s">
        <v>339</v>
      </c>
      <c r="C63" s="15" t="s">
        <v>102</v>
      </c>
      <c r="D63" s="15" t="s">
        <v>161</v>
      </c>
      <c r="E63" s="32" t="s">
        <v>394</v>
      </c>
      <c r="F63" s="33">
        <v>44322</v>
      </c>
      <c r="G63" s="17">
        <f>F63+731</f>
        <v>45053</v>
      </c>
      <c r="H63" s="32" t="s">
        <v>14</v>
      </c>
      <c r="I63" s="15" t="s">
        <v>13</v>
      </c>
      <c r="J63" s="54"/>
      <c r="L63" s="18" t="s">
        <v>2</v>
      </c>
      <c r="M63" s="19">
        <f t="shared" si="0"/>
        <v>2023</v>
      </c>
      <c r="N63" s="19" t="str">
        <f t="shared" si="1"/>
        <v>05</v>
      </c>
      <c r="O63" s="19" t="str">
        <f t="shared" si="2"/>
        <v>07</v>
      </c>
      <c r="P63" s="18" t="str">
        <f t="shared" si="5"/>
        <v>20230507</v>
      </c>
      <c r="Q63" s="20"/>
      <c r="R63" s="18" t="s">
        <v>27</v>
      </c>
      <c r="S63" s="18">
        <f t="shared" ca="1" si="6"/>
        <v>2022</v>
      </c>
      <c r="T63" s="21">
        <f t="shared" ref="T63:T126" ca="1" si="9">IF(MONTH(TODAY())&lt;10,CONCATENATE(0,MONTH(TODAY())),MONTH(TODAY()))</f>
        <v>12</v>
      </c>
      <c r="U63" s="21" t="str">
        <f t="shared" ref="U63:U126" ca="1" si="10">IF(DAY(TODAY())&lt;10,CONCATENATE(0,DAY(TODAY())),DAY(TODAY()))</f>
        <v>05</v>
      </c>
      <c r="V63" s="21" t="str">
        <f t="shared" ca="1" si="7"/>
        <v>20221205</v>
      </c>
      <c r="Z63" s="29" t="s">
        <v>799</v>
      </c>
    </row>
    <row r="64" spans="1:36" ht="16.350000000000001" customHeight="1" x14ac:dyDescent="0.2">
      <c r="A64" s="14" t="s">
        <v>340</v>
      </c>
      <c r="B64" s="60" t="s">
        <v>101</v>
      </c>
      <c r="C64" s="15" t="s">
        <v>102</v>
      </c>
      <c r="D64" s="15" t="s">
        <v>161</v>
      </c>
      <c r="E64" s="32" t="s">
        <v>394</v>
      </c>
      <c r="F64" s="33">
        <v>44322</v>
      </c>
      <c r="G64" s="17">
        <f>F64+731</f>
        <v>45053</v>
      </c>
      <c r="H64" s="32" t="s">
        <v>14</v>
      </c>
      <c r="I64" s="15" t="s">
        <v>13</v>
      </c>
      <c r="J64" s="54"/>
      <c r="L64" s="18" t="s">
        <v>2</v>
      </c>
      <c r="M64" s="19">
        <f t="shared" si="0"/>
        <v>2023</v>
      </c>
      <c r="N64" s="19" t="str">
        <f t="shared" si="1"/>
        <v>05</v>
      </c>
      <c r="O64" s="19" t="str">
        <f t="shared" si="2"/>
        <v>07</v>
      </c>
      <c r="P64" s="18" t="str">
        <f t="shared" si="5"/>
        <v>20230507</v>
      </c>
      <c r="Q64" s="20"/>
      <c r="R64" s="18" t="s">
        <v>27</v>
      </c>
      <c r="S64" s="18">
        <f t="shared" ca="1" si="6"/>
        <v>2022</v>
      </c>
      <c r="T64" s="21">
        <f t="shared" ca="1" si="9"/>
        <v>12</v>
      </c>
      <c r="U64" s="21" t="str">
        <f t="shared" ca="1" si="10"/>
        <v>05</v>
      </c>
      <c r="V64" s="21" t="str">
        <f t="shared" ca="1" si="7"/>
        <v>20221205</v>
      </c>
      <c r="Z64" s="6" t="s">
        <v>799</v>
      </c>
    </row>
    <row r="65" spans="1:26" ht="16.350000000000001" customHeight="1" x14ac:dyDescent="0.2">
      <c r="A65" s="14" t="s">
        <v>507</v>
      </c>
      <c r="B65" s="60" t="s">
        <v>508</v>
      </c>
      <c r="C65" s="15" t="s">
        <v>509</v>
      </c>
      <c r="D65" s="15" t="s">
        <v>468</v>
      </c>
      <c r="E65" s="15" t="s">
        <v>430</v>
      </c>
      <c r="F65" s="16" t="s">
        <v>510</v>
      </c>
      <c r="G65" s="17" t="s">
        <v>511</v>
      </c>
      <c r="H65" s="15" t="s">
        <v>14</v>
      </c>
      <c r="I65" s="15" t="s">
        <v>23</v>
      </c>
      <c r="J65" s="54" t="s">
        <v>4</v>
      </c>
      <c r="L65" s="18" t="s">
        <v>2</v>
      </c>
      <c r="M65" s="19">
        <f t="shared" ref="M65:M128" si="11">YEAR(G65)</f>
        <v>2023</v>
      </c>
      <c r="N65" s="19" t="str">
        <f t="shared" ref="N65:N128" si="12">IF(MONTH(G65)&lt;10,CONCATENATE(0,MONTH(G65)),MONTH(G65))</f>
        <v>05</v>
      </c>
      <c r="O65" s="19">
        <f t="shared" ref="O65:O128" si="13">IF(DAY(G65)&lt;10,CONCATENATE(0,DAY(G65)),DAY(G65))</f>
        <v>14</v>
      </c>
      <c r="P65" s="18" t="str">
        <f t="shared" ref="P65:P128" si="14">CONCATENATE(M65,N65,O65)</f>
        <v>20230514</v>
      </c>
      <c r="Q65" s="20"/>
      <c r="R65" s="18" t="s">
        <v>27</v>
      </c>
      <c r="S65" s="18">
        <f t="shared" ref="S65:S128" ca="1" si="15">YEAR(TODAY())</f>
        <v>2022</v>
      </c>
      <c r="T65" s="21">
        <f t="shared" ca="1" si="9"/>
        <v>12</v>
      </c>
      <c r="U65" s="21" t="str">
        <f t="shared" ca="1" si="10"/>
        <v>05</v>
      </c>
      <c r="V65" s="21" t="str">
        <f t="shared" ref="V65:V128" ca="1" si="16">CONCATENATE(S65,T65,U65)</f>
        <v>20221205</v>
      </c>
      <c r="Z65" s="29" t="s">
        <v>799</v>
      </c>
    </row>
    <row r="66" spans="1:26" ht="16.350000000000001" customHeight="1" x14ac:dyDescent="0.2">
      <c r="A66" s="14" t="s">
        <v>512</v>
      </c>
      <c r="B66" s="60" t="s">
        <v>508</v>
      </c>
      <c r="C66" s="15" t="s">
        <v>509</v>
      </c>
      <c r="D66" s="15" t="s">
        <v>468</v>
      </c>
      <c r="E66" s="15" t="s">
        <v>430</v>
      </c>
      <c r="F66" s="16" t="s">
        <v>510</v>
      </c>
      <c r="G66" s="17" t="s">
        <v>511</v>
      </c>
      <c r="H66" s="15" t="s">
        <v>14</v>
      </c>
      <c r="I66" s="15" t="s">
        <v>12</v>
      </c>
      <c r="J66" s="54" t="s">
        <v>4</v>
      </c>
      <c r="L66" s="18" t="s">
        <v>2</v>
      </c>
      <c r="M66" s="19">
        <f t="shared" si="11"/>
        <v>2023</v>
      </c>
      <c r="N66" s="19" t="str">
        <f t="shared" si="12"/>
        <v>05</v>
      </c>
      <c r="O66" s="19">
        <f t="shared" si="13"/>
        <v>14</v>
      </c>
      <c r="P66" s="18" t="str">
        <f t="shared" si="14"/>
        <v>20230514</v>
      </c>
      <c r="Q66" s="20"/>
      <c r="R66" s="18" t="s">
        <v>27</v>
      </c>
      <c r="S66" s="18">
        <f t="shared" ca="1" si="15"/>
        <v>2022</v>
      </c>
      <c r="T66" s="21">
        <f t="shared" ca="1" si="9"/>
        <v>12</v>
      </c>
      <c r="U66" s="21" t="str">
        <f t="shared" ca="1" si="10"/>
        <v>05</v>
      </c>
      <c r="V66" s="21" t="str">
        <f t="shared" ca="1" si="16"/>
        <v>20221205</v>
      </c>
      <c r="Z66" s="6" t="s">
        <v>799</v>
      </c>
    </row>
    <row r="67" spans="1:26" ht="16.350000000000001" customHeight="1" x14ac:dyDescent="0.2">
      <c r="A67" s="14" t="s">
        <v>591</v>
      </c>
      <c r="B67" s="60" t="s">
        <v>4</v>
      </c>
      <c r="C67" s="15" t="s">
        <v>592</v>
      </c>
      <c r="D67" s="15" t="s">
        <v>588</v>
      </c>
      <c r="E67" s="15" t="s">
        <v>430</v>
      </c>
      <c r="F67" s="16" t="s">
        <v>593</v>
      </c>
      <c r="G67" s="17" t="s">
        <v>594</v>
      </c>
      <c r="H67" s="15" t="s">
        <v>14</v>
      </c>
      <c r="I67" s="15" t="s">
        <v>12</v>
      </c>
      <c r="J67" s="54" t="s">
        <v>4</v>
      </c>
      <c r="L67" s="18" t="s">
        <v>2</v>
      </c>
      <c r="M67" s="19">
        <f t="shared" si="11"/>
        <v>2023</v>
      </c>
      <c r="N67" s="19" t="str">
        <f t="shared" si="12"/>
        <v>05</v>
      </c>
      <c r="O67" s="19">
        <f t="shared" si="13"/>
        <v>15</v>
      </c>
      <c r="P67" s="18" t="str">
        <f t="shared" si="14"/>
        <v>20230515</v>
      </c>
      <c r="Q67" s="20"/>
      <c r="R67" s="18" t="s">
        <v>27</v>
      </c>
      <c r="S67" s="18">
        <f t="shared" ca="1" si="15"/>
        <v>2022</v>
      </c>
      <c r="T67" s="21">
        <f t="shared" ca="1" si="9"/>
        <v>12</v>
      </c>
      <c r="U67" s="21" t="str">
        <f t="shared" ca="1" si="10"/>
        <v>05</v>
      </c>
      <c r="V67" s="21" t="str">
        <f t="shared" ca="1" si="16"/>
        <v>20221205</v>
      </c>
      <c r="Z67" s="29" t="s">
        <v>799</v>
      </c>
    </row>
    <row r="68" spans="1:26" ht="16.350000000000001" customHeight="1" x14ac:dyDescent="0.2">
      <c r="A68" s="14" t="s">
        <v>190</v>
      </c>
      <c r="B68" s="60" t="s">
        <v>191</v>
      </c>
      <c r="C68" s="15" t="s">
        <v>192</v>
      </c>
      <c r="D68" s="15" t="s">
        <v>161</v>
      </c>
      <c r="E68" s="15" t="s">
        <v>174</v>
      </c>
      <c r="F68" s="16" t="s">
        <v>193</v>
      </c>
      <c r="G68" s="17" t="s">
        <v>194</v>
      </c>
      <c r="H68" s="15" t="s">
        <v>14</v>
      </c>
      <c r="I68" s="15" t="s">
        <v>19</v>
      </c>
      <c r="J68" s="54" t="s">
        <v>4</v>
      </c>
      <c r="L68" s="18" t="s">
        <v>2</v>
      </c>
      <c r="M68" s="19">
        <f t="shared" si="11"/>
        <v>2023</v>
      </c>
      <c r="N68" s="19" t="str">
        <f t="shared" si="12"/>
        <v>05</v>
      </c>
      <c r="O68" s="19">
        <f t="shared" si="13"/>
        <v>19</v>
      </c>
      <c r="P68" s="18" t="str">
        <f t="shared" si="14"/>
        <v>20230519</v>
      </c>
      <c r="Q68" s="20"/>
      <c r="R68" s="18" t="s">
        <v>27</v>
      </c>
      <c r="S68" s="18">
        <f t="shared" ca="1" si="15"/>
        <v>2022</v>
      </c>
      <c r="T68" s="21">
        <f t="shared" ca="1" si="9"/>
        <v>12</v>
      </c>
      <c r="U68" s="21" t="str">
        <f t="shared" ca="1" si="10"/>
        <v>05</v>
      </c>
      <c r="V68" s="21" t="str">
        <f t="shared" ca="1" si="16"/>
        <v>20221205</v>
      </c>
      <c r="Z68" s="6" t="s">
        <v>799</v>
      </c>
    </row>
    <row r="69" spans="1:26" ht="16.350000000000001" customHeight="1" x14ac:dyDescent="0.2">
      <c r="A69" s="14" t="s">
        <v>333</v>
      </c>
      <c r="B69" s="60" t="s">
        <v>334</v>
      </c>
      <c r="C69" s="15" t="s">
        <v>335</v>
      </c>
      <c r="D69" s="15" t="s">
        <v>161</v>
      </c>
      <c r="E69" s="32" t="s">
        <v>174</v>
      </c>
      <c r="F69" s="33">
        <v>44334</v>
      </c>
      <c r="G69" s="17">
        <f>F69+731</f>
        <v>45065</v>
      </c>
      <c r="H69" s="15" t="s">
        <v>14</v>
      </c>
      <c r="I69" s="32" t="s">
        <v>19</v>
      </c>
      <c r="J69" s="54"/>
      <c r="L69" s="18" t="s">
        <v>2</v>
      </c>
      <c r="M69" s="19">
        <f t="shared" si="11"/>
        <v>2023</v>
      </c>
      <c r="N69" s="19" t="str">
        <f t="shared" si="12"/>
        <v>05</v>
      </c>
      <c r="O69" s="19">
        <f t="shared" si="13"/>
        <v>19</v>
      </c>
      <c r="P69" s="18" t="str">
        <f t="shared" si="14"/>
        <v>20230519</v>
      </c>
      <c r="Q69" s="20"/>
      <c r="R69" s="18" t="s">
        <v>27</v>
      </c>
      <c r="S69" s="18">
        <f t="shared" ca="1" si="15"/>
        <v>2022</v>
      </c>
      <c r="T69" s="21">
        <f t="shared" ca="1" si="9"/>
        <v>12</v>
      </c>
      <c r="U69" s="21" t="str">
        <f t="shared" ca="1" si="10"/>
        <v>05</v>
      </c>
      <c r="V69" s="21" t="str">
        <f t="shared" ca="1" si="16"/>
        <v>20221205</v>
      </c>
      <c r="Z69" s="29" t="s">
        <v>799</v>
      </c>
    </row>
    <row r="70" spans="1:26" ht="16.350000000000001" customHeight="1" x14ac:dyDescent="0.2">
      <c r="A70" s="14" t="s">
        <v>513</v>
      </c>
      <c r="B70" s="60" t="s">
        <v>514</v>
      </c>
      <c r="C70" s="15" t="s">
        <v>515</v>
      </c>
      <c r="D70" s="15" t="s">
        <v>468</v>
      </c>
      <c r="E70" s="15" t="s">
        <v>430</v>
      </c>
      <c r="F70" s="16" t="s">
        <v>516</v>
      </c>
      <c r="G70" s="37" t="s">
        <v>517</v>
      </c>
      <c r="H70" s="15" t="s">
        <v>14</v>
      </c>
      <c r="I70" s="15" t="s">
        <v>518</v>
      </c>
      <c r="J70" s="54" t="s">
        <v>725</v>
      </c>
      <c r="L70" s="18" t="s">
        <v>2</v>
      </c>
      <c r="M70" s="19">
        <f t="shared" si="11"/>
        <v>2023</v>
      </c>
      <c r="N70" s="19" t="str">
        <f t="shared" si="12"/>
        <v>05</v>
      </c>
      <c r="O70" s="19">
        <f t="shared" si="13"/>
        <v>25</v>
      </c>
      <c r="P70" s="18" t="str">
        <f t="shared" si="14"/>
        <v>20230525</v>
      </c>
      <c r="Q70" s="20"/>
      <c r="R70" s="18" t="s">
        <v>27</v>
      </c>
      <c r="S70" s="18">
        <f t="shared" ca="1" si="15"/>
        <v>2022</v>
      </c>
      <c r="T70" s="21">
        <f t="shared" ca="1" si="9"/>
        <v>12</v>
      </c>
      <c r="U70" s="21" t="str">
        <f t="shared" ca="1" si="10"/>
        <v>05</v>
      </c>
      <c r="V70" s="21" t="str">
        <f t="shared" ca="1" si="16"/>
        <v>20221205</v>
      </c>
      <c r="Z70" s="6" t="s">
        <v>799</v>
      </c>
    </row>
    <row r="71" spans="1:26" ht="16.350000000000001" customHeight="1" x14ac:dyDescent="0.2">
      <c r="A71" s="14" t="s">
        <v>392</v>
      </c>
      <c r="B71" s="60" t="s">
        <v>414</v>
      </c>
      <c r="C71" s="15" t="s">
        <v>127</v>
      </c>
      <c r="D71" s="15" t="s">
        <v>161</v>
      </c>
      <c r="E71" s="32" t="s">
        <v>22</v>
      </c>
      <c r="F71" s="33" t="s">
        <v>415</v>
      </c>
      <c r="G71" s="17" t="s">
        <v>416</v>
      </c>
      <c r="H71" s="15" t="s">
        <v>14</v>
      </c>
      <c r="I71" s="15" t="s">
        <v>23</v>
      </c>
      <c r="J71" s="54" t="s">
        <v>419</v>
      </c>
      <c r="L71" s="18" t="s">
        <v>2</v>
      </c>
      <c r="M71" s="19">
        <f t="shared" si="11"/>
        <v>2023</v>
      </c>
      <c r="N71" s="19" t="str">
        <f t="shared" si="12"/>
        <v>05</v>
      </c>
      <c r="O71" s="19">
        <f t="shared" si="13"/>
        <v>26</v>
      </c>
      <c r="P71" s="18" t="str">
        <f t="shared" si="14"/>
        <v>20230526</v>
      </c>
      <c r="Q71" s="20"/>
      <c r="R71" s="18" t="s">
        <v>27</v>
      </c>
      <c r="S71" s="18">
        <f t="shared" ca="1" si="15"/>
        <v>2022</v>
      </c>
      <c r="T71" s="21">
        <f t="shared" ca="1" si="9"/>
        <v>12</v>
      </c>
      <c r="U71" s="21" t="str">
        <f t="shared" ca="1" si="10"/>
        <v>05</v>
      </c>
      <c r="V71" s="21" t="str">
        <f t="shared" ca="1" si="16"/>
        <v>20221205</v>
      </c>
      <c r="Z71" s="29" t="s">
        <v>799</v>
      </c>
    </row>
    <row r="72" spans="1:26" ht="16.350000000000001" customHeight="1" x14ac:dyDescent="0.2">
      <c r="A72" s="25" t="s">
        <v>111</v>
      </c>
      <c r="B72" s="61">
        <v>1025429</v>
      </c>
      <c r="C72" s="6" t="s">
        <v>108</v>
      </c>
      <c r="D72" s="15" t="s">
        <v>158</v>
      </c>
      <c r="E72" s="6" t="s">
        <v>22</v>
      </c>
      <c r="F72" s="31">
        <v>44368</v>
      </c>
      <c r="G72" s="17">
        <v>45078</v>
      </c>
      <c r="H72" s="6" t="s">
        <v>14</v>
      </c>
      <c r="I72" s="15" t="s">
        <v>23</v>
      </c>
      <c r="J72" s="55" t="s">
        <v>112</v>
      </c>
      <c r="L72" s="18" t="s">
        <v>2</v>
      </c>
      <c r="M72" s="19">
        <f t="shared" si="11"/>
        <v>2023</v>
      </c>
      <c r="N72" s="19" t="str">
        <f t="shared" si="12"/>
        <v>06</v>
      </c>
      <c r="O72" s="19" t="str">
        <f t="shared" si="13"/>
        <v>01</v>
      </c>
      <c r="P72" s="18" t="str">
        <f t="shared" si="14"/>
        <v>20230601</v>
      </c>
      <c r="Q72" s="20"/>
      <c r="R72" s="18" t="s">
        <v>27</v>
      </c>
      <c r="S72" s="18">
        <f t="shared" ca="1" si="15"/>
        <v>2022</v>
      </c>
      <c r="T72" s="21">
        <f t="shared" ca="1" si="9"/>
        <v>12</v>
      </c>
      <c r="U72" s="21" t="str">
        <f t="shared" ca="1" si="10"/>
        <v>05</v>
      </c>
      <c r="V72" s="21" t="str">
        <f t="shared" ca="1" si="16"/>
        <v>20221205</v>
      </c>
      <c r="Z72" s="6" t="s">
        <v>799</v>
      </c>
    </row>
    <row r="73" spans="1:26" ht="16.350000000000001" customHeight="1" x14ac:dyDescent="0.2">
      <c r="A73" s="25" t="s">
        <v>341</v>
      </c>
      <c r="B73" s="53" t="s">
        <v>342</v>
      </c>
      <c r="C73" s="6" t="s">
        <v>343</v>
      </c>
      <c r="D73" s="15" t="s">
        <v>161</v>
      </c>
      <c r="E73" s="26" t="s">
        <v>22</v>
      </c>
      <c r="F73" s="27">
        <v>44356</v>
      </c>
      <c r="G73" s="17">
        <f t="shared" ref="G73:G78" si="17">F73+731</f>
        <v>45087</v>
      </c>
      <c r="H73" s="26" t="s">
        <v>14</v>
      </c>
      <c r="I73" s="6" t="s">
        <v>13</v>
      </c>
      <c r="L73" s="18" t="s">
        <v>2</v>
      </c>
      <c r="M73" s="19">
        <f t="shared" si="11"/>
        <v>2023</v>
      </c>
      <c r="N73" s="19" t="str">
        <f t="shared" si="12"/>
        <v>06</v>
      </c>
      <c r="O73" s="19">
        <f t="shared" si="13"/>
        <v>10</v>
      </c>
      <c r="P73" s="18" t="str">
        <f t="shared" si="14"/>
        <v>20230610</v>
      </c>
      <c r="Q73" s="20"/>
      <c r="R73" s="18" t="s">
        <v>27</v>
      </c>
      <c r="S73" s="18">
        <f t="shared" ca="1" si="15"/>
        <v>2022</v>
      </c>
      <c r="T73" s="21">
        <f t="shared" ca="1" si="9"/>
        <v>12</v>
      </c>
      <c r="U73" s="21" t="str">
        <f t="shared" ca="1" si="10"/>
        <v>05</v>
      </c>
      <c r="V73" s="21" t="str">
        <f t="shared" ca="1" si="16"/>
        <v>20221205</v>
      </c>
      <c r="Z73" s="29" t="s">
        <v>799</v>
      </c>
    </row>
    <row r="74" spans="1:26" ht="16.350000000000001" customHeight="1" x14ac:dyDescent="0.2">
      <c r="A74" s="25" t="s">
        <v>344</v>
      </c>
      <c r="B74" s="53" t="s">
        <v>342</v>
      </c>
      <c r="C74" s="6" t="s">
        <v>412</v>
      </c>
      <c r="D74" s="15" t="s">
        <v>161</v>
      </c>
      <c r="E74" s="26" t="s">
        <v>22</v>
      </c>
      <c r="F74" s="27">
        <v>44356</v>
      </c>
      <c r="G74" s="17">
        <f t="shared" si="17"/>
        <v>45087</v>
      </c>
      <c r="H74" s="26" t="s">
        <v>14</v>
      </c>
      <c r="I74" s="6" t="s">
        <v>13</v>
      </c>
      <c r="L74" s="18" t="s">
        <v>2</v>
      </c>
      <c r="M74" s="19">
        <f t="shared" si="11"/>
        <v>2023</v>
      </c>
      <c r="N74" s="19" t="str">
        <f t="shared" si="12"/>
        <v>06</v>
      </c>
      <c r="O74" s="19">
        <f t="shared" si="13"/>
        <v>10</v>
      </c>
      <c r="P74" s="18" t="str">
        <f t="shared" si="14"/>
        <v>20230610</v>
      </c>
      <c r="Q74" s="20"/>
      <c r="R74" s="18" t="s">
        <v>27</v>
      </c>
      <c r="S74" s="18">
        <f t="shared" ca="1" si="15"/>
        <v>2022</v>
      </c>
      <c r="T74" s="21">
        <f t="shared" ca="1" si="9"/>
        <v>12</v>
      </c>
      <c r="U74" s="21" t="str">
        <f t="shared" ca="1" si="10"/>
        <v>05</v>
      </c>
      <c r="V74" s="21" t="str">
        <f t="shared" ca="1" si="16"/>
        <v>20221205</v>
      </c>
      <c r="Z74" s="6" t="s">
        <v>799</v>
      </c>
    </row>
    <row r="75" spans="1:26" ht="16.350000000000001" customHeight="1" x14ac:dyDescent="0.2">
      <c r="A75" s="25" t="s">
        <v>345</v>
      </c>
      <c r="B75" s="53" t="s">
        <v>342</v>
      </c>
      <c r="C75" s="6" t="s">
        <v>413</v>
      </c>
      <c r="D75" s="15" t="s">
        <v>161</v>
      </c>
      <c r="E75" s="26" t="s">
        <v>22</v>
      </c>
      <c r="F75" s="27">
        <v>44356</v>
      </c>
      <c r="G75" s="17">
        <f t="shared" si="17"/>
        <v>45087</v>
      </c>
      <c r="H75" s="26" t="s">
        <v>14</v>
      </c>
      <c r="I75" s="15" t="s">
        <v>13</v>
      </c>
      <c r="L75" s="18" t="s">
        <v>2</v>
      </c>
      <c r="M75" s="19">
        <f t="shared" si="11"/>
        <v>2023</v>
      </c>
      <c r="N75" s="19" t="str">
        <f t="shared" si="12"/>
        <v>06</v>
      </c>
      <c r="O75" s="19">
        <f t="shared" si="13"/>
        <v>10</v>
      </c>
      <c r="P75" s="18" t="str">
        <f t="shared" si="14"/>
        <v>20230610</v>
      </c>
      <c r="Q75" s="20"/>
      <c r="R75" s="18" t="s">
        <v>27</v>
      </c>
      <c r="S75" s="18">
        <f t="shared" ca="1" si="15"/>
        <v>2022</v>
      </c>
      <c r="T75" s="21">
        <f t="shared" ca="1" si="9"/>
        <v>12</v>
      </c>
      <c r="U75" s="21" t="str">
        <f t="shared" ca="1" si="10"/>
        <v>05</v>
      </c>
      <c r="V75" s="21" t="str">
        <f t="shared" ca="1" si="16"/>
        <v>20221205</v>
      </c>
      <c r="Z75" s="29" t="s">
        <v>799</v>
      </c>
    </row>
    <row r="76" spans="1:26" ht="16.350000000000001" customHeight="1" x14ac:dyDescent="0.2">
      <c r="A76" s="25" t="s">
        <v>346</v>
      </c>
      <c r="B76" s="53" t="s">
        <v>124</v>
      </c>
      <c r="C76" s="6" t="s">
        <v>347</v>
      </c>
      <c r="D76" s="15" t="s">
        <v>161</v>
      </c>
      <c r="E76" s="26" t="s">
        <v>22</v>
      </c>
      <c r="F76" s="27">
        <v>44356</v>
      </c>
      <c r="G76" s="17">
        <f t="shared" si="17"/>
        <v>45087</v>
      </c>
      <c r="H76" s="26" t="s">
        <v>14</v>
      </c>
      <c r="I76" s="15" t="s">
        <v>13</v>
      </c>
      <c r="L76" s="18" t="s">
        <v>2</v>
      </c>
      <c r="M76" s="19">
        <f t="shared" si="11"/>
        <v>2023</v>
      </c>
      <c r="N76" s="19" t="str">
        <f t="shared" si="12"/>
        <v>06</v>
      </c>
      <c r="O76" s="19">
        <f t="shared" si="13"/>
        <v>10</v>
      </c>
      <c r="P76" s="18" t="str">
        <f t="shared" si="14"/>
        <v>20230610</v>
      </c>
      <c r="Q76" s="20"/>
      <c r="R76" s="18" t="s">
        <v>27</v>
      </c>
      <c r="S76" s="18">
        <f t="shared" ca="1" si="15"/>
        <v>2022</v>
      </c>
      <c r="T76" s="21">
        <f t="shared" ca="1" si="9"/>
        <v>12</v>
      </c>
      <c r="U76" s="21" t="str">
        <f t="shared" ca="1" si="10"/>
        <v>05</v>
      </c>
      <c r="V76" s="21" t="str">
        <f t="shared" ca="1" si="16"/>
        <v>20221205</v>
      </c>
      <c r="Z76" s="6" t="s">
        <v>799</v>
      </c>
    </row>
    <row r="77" spans="1:26" ht="16.350000000000001" customHeight="1" x14ac:dyDescent="0.2">
      <c r="A77" s="25" t="s">
        <v>348</v>
      </c>
      <c r="B77" s="53" t="s">
        <v>124</v>
      </c>
      <c r="C77" s="6" t="s">
        <v>349</v>
      </c>
      <c r="D77" s="15" t="s">
        <v>161</v>
      </c>
      <c r="E77" s="26" t="s">
        <v>22</v>
      </c>
      <c r="F77" s="27">
        <v>44356</v>
      </c>
      <c r="G77" s="17">
        <f t="shared" si="17"/>
        <v>45087</v>
      </c>
      <c r="H77" s="26" t="s">
        <v>14</v>
      </c>
      <c r="I77" s="15" t="s">
        <v>13</v>
      </c>
      <c r="L77" s="18" t="s">
        <v>2</v>
      </c>
      <c r="M77" s="19">
        <f t="shared" si="11"/>
        <v>2023</v>
      </c>
      <c r="N77" s="19" t="str">
        <f t="shared" si="12"/>
        <v>06</v>
      </c>
      <c r="O77" s="19">
        <f t="shared" si="13"/>
        <v>10</v>
      </c>
      <c r="P77" s="18" t="str">
        <f t="shared" si="14"/>
        <v>20230610</v>
      </c>
      <c r="Q77" s="20"/>
      <c r="R77" s="18" t="s">
        <v>27</v>
      </c>
      <c r="S77" s="18">
        <f t="shared" ca="1" si="15"/>
        <v>2022</v>
      </c>
      <c r="T77" s="21">
        <f t="shared" ca="1" si="9"/>
        <v>12</v>
      </c>
      <c r="U77" s="21" t="str">
        <f t="shared" ca="1" si="10"/>
        <v>05</v>
      </c>
      <c r="V77" s="21" t="str">
        <f t="shared" ca="1" si="16"/>
        <v>20221205</v>
      </c>
      <c r="Z77" s="29" t="s">
        <v>799</v>
      </c>
    </row>
    <row r="78" spans="1:26" ht="16.350000000000001" customHeight="1" x14ac:dyDescent="0.2">
      <c r="A78" s="25" t="s">
        <v>350</v>
      </c>
      <c r="B78" s="53" t="s">
        <v>124</v>
      </c>
      <c r="C78" s="6" t="s">
        <v>351</v>
      </c>
      <c r="D78" s="15" t="s">
        <v>161</v>
      </c>
      <c r="E78" s="26" t="s">
        <v>22</v>
      </c>
      <c r="F78" s="27">
        <v>44356</v>
      </c>
      <c r="G78" s="17">
        <f t="shared" si="17"/>
        <v>45087</v>
      </c>
      <c r="H78" s="26" t="s">
        <v>14</v>
      </c>
      <c r="I78" s="15" t="s">
        <v>13</v>
      </c>
      <c r="L78" s="18" t="s">
        <v>2</v>
      </c>
      <c r="M78" s="19">
        <f t="shared" si="11"/>
        <v>2023</v>
      </c>
      <c r="N78" s="19" t="str">
        <f t="shared" si="12"/>
        <v>06</v>
      </c>
      <c r="O78" s="19">
        <f t="shared" si="13"/>
        <v>10</v>
      </c>
      <c r="P78" s="18" t="str">
        <f t="shared" si="14"/>
        <v>20230610</v>
      </c>
      <c r="Q78" s="20"/>
      <c r="R78" s="18" t="s">
        <v>27</v>
      </c>
      <c r="S78" s="18">
        <f t="shared" ca="1" si="15"/>
        <v>2022</v>
      </c>
      <c r="T78" s="21">
        <f t="shared" ca="1" si="9"/>
        <v>12</v>
      </c>
      <c r="U78" s="21" t="str">
        <f t="shared" ca="1" si="10"/>
        <v>05</v>
      </c>
      <c r="V78" s="21" t="str">
        <f t="shared" ca="1" si="16"/>
        <v>20221205</v>
      </c>
      <c r="Z78" s="6" t="s">
        <v>799</v>
      </c>
    </row>
    <row r="79" spans="1:26" ht="16.350000000000001" customHeight="1" x14ac:dyDescent="0.2">
      <c r="A79" s="25" t="s">
        <v>171</v>
      </c>
      <c r="B79" s="53" t="s">
        <v>172</v>
      </c>
      <c r="C79" s="6" t="s">
        <v>173</v>
      </c>
      <c r="D79" s="15" t="s">
        <v>161</v>
      </c>
      <c r="E79" s="6" t="s">
        <v>174</v>
      </c>
      <c r="F79" s="31">
        <v>44357</v>
      </c>
      <c r="G79" s="17">
        <v>45088</v>
      </c>
      <c r="H79" s="6" t="s">
        <v>14</v>
      </c>
      <c r="I79" s="15" t="s">
        <v>13</v>
      </c>
      <c r="J79" s="55" t="s">
        <v>175</v>
      </c>
      <c r="L79" s="18" t="s">
        <v>2</v>
      </c>
      <c r="M79" s="19">
        <f t="shared" si="11"/>
        <v>2023</v>
      </c>
      <c r="N79" s="19" t="str">
        <f t="shared" si="12"/>
        <v>06</v>
      </c>
      <c r="O79" s="19">
        <f t="shared" si="13"/>
        <v>11</v>
      </c>
      <c r="P79" s="18" t="str">
        <f t="shared" si="14"/>
        <v>20230611</v>
      </c>
      <c r="Q79" s="20"/>
      <c r="R79" s="18" t="s">
        <v>27</v>
      </c>
      <c r="S79" s="18">
        <f t="shared" ca="1" si="15"/>
        <v>2022</v>
      </c>
      <c r="T79" s="21">
        <f t="shared" ca="1" si="9"/>
        <v>12</v>
      </c>
      <c r="U79" s="21" t="str">
        <f t="shared" ca="1" si="10"/>
        <v>05</v>
      </c>
      <c r="V79" s="21" t="str">
        <f t="shared" ca="1" si="16"/>
        <v>20221205</v>
      </c>
      <c r="Z79" s="29" t="s">
        <v>799</v>
      </c>
    </row>
    <row r="80" spans="1:26" ht="16.350000000000001" customHeight="1" x14ac:dyDescent="0.2">
      <c r="A80" s="25" t="s">
        <v>176</v>
      </c>
      <c r="B80" s="53" t="s">
        <v>177</v>
      </c>
      <c r="C80" s="6" t="s">
        <v>178</v>
      </c>
      <c r="D80" s="15" t="s">
        <v>161</v>
      </c>
      <c r="E80" s="6" t="s">
        <v>179</v>
      </c>
      <c r="F80" s="31">
        <v>44357</v>
      </c>
      <c r="G80" s="17">
        <v>45088</v>
      </c>
      <c r="H80" s="6" t="s">
        <v>14</v>
      </c>
      <c r="I80" s="15" t="s">
        <v>13</v>
      </c>
      <c r="J80" s="55" t="s">
        <v>180</v>
      </c>
      <c r="L80" s="18" t="s">
        <v>2</v>
      </c>
      <c r="M80" s="19">
        <f t="shared" si="11"/>
        <v>2023</v>
      </c>
      <c r="N80" s="19" t="str">
        <f t="shared" si="12"/>
        <v>06</v>
      </c>
      <c r="O80" s="19">
        <f t="shared" si="13"/>
        <v>11</v>
      </c>
      <c r="P80" s="18" t="str">
        <f t="shared" si="14"/>
        <v>20230611</v>
      </c>
      <c r="Q80" s="20"/>
      <c r="R80" s="18" t="s">
        <v>27</v>
      </c>
      <c r="S80" s="18">
        <f t="shared" ca="1" si="15"/>
        <v>2022</v>
      </c>
      <c r="T80" s="21">
        <f t="shared" ca="1" si="9"/>
        <v>12</v>
      </c>
      <c r="U80" s="21" t="str">
        <f t="shared" ca="1" si="10"/>
        <v>05</v>
      </c>
      <c r="V80" s="21" t="str">
        <f t="shared" ca="1" si="16"/>
        <v>20221205</v>
      </c>
      <c r="Z80" s="6" t="s">
        <v>799</v>
      </c>
    </row>
    <row r="81" spans="1:36" ht="16.350000000000001" customHeight="1" x14ac:dyDescent="0.2">
      <c r="A81" s="25" t="s">
        <v>151</v>
      </c>
      <c r="B81" s="53" t="s">
        <v>152</v>
      </c>
      <c r="C81" s="6" t="s">
        <v>153</v>
      </c>
      <c r="D81" s="15" t="s">
        <v>158</v>
      </c>
      <c r="E81" s="6" t="s">
        <v>22</v>
      </c>
      <c r="F81" s="31">
        <v>44363</v>
      </c>
      <c r="G81" s="17">
        <v>45093</v>
      </c>
      <c r="H81" s="6" t="s">
        <v>14</v>
      </c>
      <c r="I81" s="15" t="s">
        <v>19</v>
      </c>
      <c r="J81" s="55" t="s">
        <v>4</v>
      </c>
      <c r="L81" s="18" t="s">
        <v>2</v>
      </c>
      <c r="M81" s="19">
        <f t="shared" si="11"/>
        <v>2023</v>
      </c>
      <c r="N81" s="19" t="str">
        <f t="shared" si="12"/>
        <v>06</v>
      </c>
      <c r="O81" s="19">
        <f t="shared" si="13"/>
        <v>16</v>
      </c>
      <c r="P81" s="18" t="str">
        <f t="shared" si="14"/>
        <v>20230616</v>
      </c>
      <c r="Q81" s="20"/>
      <c r="R81" s="18" t="s">
        <v>27</v>
      </c>
      <c r="S81" s="18">
        <f t="shared" ca="1" si="15"/>
        <v>2022</v>
      </c>
      <c r="T81" s="21">
        <f t="shared" ca="1" si="9"/>
        <v>12</v>
      </c>
      <c r="U81" s="21" t="str">
        <f t="shared" ca="1" si="10"/>
        <v>05</v>
      </c>
      <c r="V81" s="21" t="str">
        <f t="shared" ca="1" si="16"/>
        <v>20221205</v>
      </c>
      <c r="Z81" s="29" t="s">
        <v>799</v>
      </c>
    </row>
    <row r="82" spans="1:36" ht="16.350000000000001" customHeight="1" x14ac:dyDescent="0.2">
      <c r="A82" s="25" t="s">
        <v>538</v>
      </c>
      <c r="B82" s="53" t="s">
        <v>4</v>
      </c>
      <c r="C82" s="6" t="s">
        <v>539</v>
      </c>
      <c r="D82" s="15" t="s">
        <v>536</v>
      </c>
      <c r="E82" s="6" t="s">
        <v>430</v>
      </c>
      <c r="F82" s="31" t="s">
        <v>672</v>
      </c>
      <c r="G82" s="17" t="s">
        <v>676</v>
      </c>
      <c r="H82" s="6" t="s">
        <v>14</v>
      </c>
      <c r="I82" s="15" t="s">
        <v>13</v>
      </c>
      <c r="J82" s="55" t="s">
        <v>4</v>
      </c>
      <c r="L82" s="18" t="s">
        <v>2</v>
      </c>
      <c r="M82" s="19">
        <f t="shared" si="11"/>
        <v>2023</v>
      </c>
      <c r="N82" s="19" t="str">
        <f t="shared" si="12"/>
        <v>06</v>
      </c>
      <c r="O82" s="19">
        <f t="shared" si="13"/>
        <v>16</v>
      </c>
      <c r="P82" s="18" t="str">
        <f t="shared" si="14"/>
        <v>20230616</v>
      </c>
      <c r="Q82" s="20"/>
      <c r="R82" s="18" t="s">
        <v>27</v>
      </c>
      <c r="S82" s="18">
        <f t="shared" ca="1" si="15"/>
        <v>2022</v>
      </c>
      <c r="T82" s="21">
        <f t="shared" ca="1" si="9"/>
        <v>12</v>
      </c>
      <c r="U82" s="21" t="str">
        <f t="shared" ca="1" si="10"/>
        <v>05</v>
      </c>
      <c r="V82" s="21" t="str">
        <f t="shared" ca="1" si="16"/>
        <v>20221205</v>
      </c>
      <c r="Z82" s="6" t="s">
        <v>799</v>
      </c>
      <c r="AA82" s="6" t="s">
        <v>838</v>
      </c>
      <c r="AB82" s="6" t="s">
        <v>4</v>
      </c>
      <c r="AC82" s="6" t="s">
        <v>839</v>
      </c>
      <c r="AD82" s="6" t="s">
        <v>4</v>
      </c>
      <c r="AE82" s="6" t="s">
        <v>840</v>
      </c>
      <c r="AF82" s="6" t="s">
        <v>4</v>
      </c>
      <c r="AG82" s="6" t="s">
        <v>841</v>
      </c>
      <c r="AH82" s="6" t="s">
        <v>4</v>
      </c>
      <c r="AI82" s="6" t="s">
        <v>842</v>
      </c>
      <c r="AJ82" s="6" t="s">
        <v>4</v>
      </c>
    </row>
    <row r="83" spans="1:36" ht="16.350000000000001" customHeight="1" x14ac:dyDescent="0.2">
      <c r="A83" s="25" t="s">
        <v>148</v>
      </c>
      <c r="B83" s="53" t="s">
        <v>149</v>
      </c>
      <c r="C83" s="6" t="s">
        <v>150</v>
      </c>
      <c r="D83" s="15" t="s">
        <v>158</v>
      </c>
      <c r="E83" s="6" t="s">
        <v>22</v>
      </c>
      <c r="F83" s="31">
        <v>44363</v>
      </c>
      <c r="G83" s="17">
        <v>45094</v>
      </c>
      <c r="H83" s="6" t="s">
        <v>14</v>
      </c>
      <c r="I83" s="15" t="s">
        <v>19</v>
      </c>
      <c r="J83" s="55" t="s">
        <v>4</v>
      </c>
      <c r="L83" s="18" t="s">
        <v>2</v>
      </c>
      <c r="M83" s="19">
        <f t="shared" si="11"/>
        <v>2023</v>
      </c>
      <c r="N83" s="19" t="str">
        <f t="shared" si="12"/>
        <v>06</v>
      </c>
      <c r="O83" s="19">
        <f t="shared" si="13"/>
        <v>17</v>
      </c>
      <c r="P83" s="18" t="str">
        <f t="shared" si="14"/>
        <v>20230617</v>
      </c>
      <c r="Q83" s="20"/>
      <c r="R83" s="18" t="s">
        <v>27</v>
      </c>
      <c r="S83" s="18">
        <f t="shared" ca="1" si="15"/>
        <v>2022</v>
      </c>
      <c r="T83" s="21">
        <f t="shared" ca="1" si="9"/>
        <v>12</v>
      </c>
      <c r="U83" s="21" t="str">
        <f t="shared" ca="1" si="10"/>
        <v>05</v>
      </c>
      <c r="V83" s="21" t="str">
        <f t="shared" ca="1" si="16"/>
        <v>20221205</v>
      </c>
      <c r="Z83" s="29" t="s">
        <v>799</v>
      </c>
      <c r="AA83" s="6" t="s">
        <v>838</v>
      </c>
      <c r="AB83" s="6" t="s">
        <v>4</v>
      </c>
      <c r="AC83" s="6" t="s">
        <v>843</v>
      </c>
      <c r="AD83" s="6" t="s">
        <v>4</v>
      </c>
      <c r="AE83" s="6" t="s">
        <v>839</v>
      </c>
      <c r="AF83" s="6" t="s">
        <v>4</v>
      </c>
      <c r="AG83" s="6" t="s">
        <v>840</v>
      </c>
      <c r="AH83" s="6" t="s">
        <v>4</v>
      </c>
      <c r="AI83" s="6" t="s">
        <v>841</v>
      </c>
      <c r="AJ83" s="6" t="s">
        <v>4</v>
      </c>
    </row>
    <row r="84" spans="1:36" ht="16.350000000000001" customHeight="1" x14ac:dyDescent="0.2">
      <c r="A84" s="25" t="s">
        <v>154</v>
      </c>
      <c r="B84" s="53" t="s">
        <v>155</v>
      </c>
      <c r="C84" s="6" t="s">
        <v>156</v>
      </c>
      <c r="D84" s="15" t="s">
        <v>158</v>
      </c>
      <c r="E84" s="6" t="s">
        <v>22</v>
      </c>
      <c r="F84" s="31">
        <v>44363</v>
      </c>
      <c r="G84" s="17">
        <v>45094</v>
      </c>
      <c r="H84" s="6" t="s">
        <v>14</v>
      </c>
      <c r="I84" s="15" t="s">
        <v>19</v>
      </c>
      <c r="J84" s="55" t="s">
        <v>4</v>
      </c>
      <c r="L84" s="18" t="s">
        <v>2</v>
      </c>
      <c r="M84" s="19">
        <f t="shared" si="11"/>
        <v>2023</v>
      </c>
      <c r="N84" s="19" t="str">
        <f t="shared" si="12"/>
        <v>06</v>
      </c>
      <c r="O84" s="19">
        <f t="shared" si="13"/>
        <v>17</v>
      </c>
      <c r="P84" s="18" t="str">
        <f t="shared" si="14"/>
        <v>20230617</v>
      </c>
      <c r="Q84" s="20"/>
      <c r="R84" s="18" t="s">
        <v>27</v>
      </c>
      <c r="S84" s="18">
        <f t="shared" ca="1" si="15"/>
        <v>2022</v>
      </c>
      <c r="T84" s="21">
        <f t="shared" ca="1" si="9"/>
        <v>12</v>
      </c>
      <c r="U84" s="21" t="str">
        <f t="shared" ca="1" si="10"/>
        <v>05</v>
      </c>
      <c r="V84" s="21" t="str">
        <f t="shared" ca="1" si="16"/>
        <v>20221205</v>
      </c>
      <c r="Z84" s="6" t="s">
        <v>799</v>
      </c>
      <c r="AA84" s="6" t="s">
        <v>838</v>
      </c>
      <c r="AB84" s="6" t="s">
        <v>4</v>
      </c>
      <c r="AC84" s="6" t="s">
        <v>843</v>
      </c>
      <c r="AD84" s="6" t="s">
        <v>4</v>
      </c>
      <c r="AE84" s="6" t="s">
        <v>840</v>
      </c>
      <c r="AF84" s="6" t="s">
        <v>4</v>
      </c>
      <c r="AG84" s="6" t="s">
        <v>841</v>
      </c>
      <c r="AH84" s="6" t="s">
        <v>4</v>
      </c>
      <c r="AI84" s="6" t="s">
        <v>844</v>
      </c>
      <c r="AJ84" s="6" t="s">
        <v>4</v>
      </c>
    </row>
    <row r="85" spans="1:36" ht="16.350000000000001" customHeight="1" x14ac:dyDescent="0.2">
      <c r="A85" s="25" t="s">
        <v>524</v>
      </c>
      <c r="B85" s="53" t="s">
        <v>4</v>
      </c>
      <c r="C85" s="6" t="s">
        <v>525</v>
      </c>
      <c r="D85" s="15" t="s">
        <v>560</v>
      </c>
      <c r="E85" s="6" t="s">
        <v>430</v>
      </c>
      <c r="F85" s="31" t="s">
        <v>677</v>
      </c>
      <c r="G85" s="17" t="s">
        <v>678</v>
      </c>
      <c r="H85" s="6" t="s">
        <v>4</v>
      </c>
      <c r="I85" s="15" t="s">
        <v>13</v>
      </c>
      <c r="J85" s="55" t="s">
        <v>4</v>
      </c>
      <c r="L85" s="18" t="s">
        <v>2</v>
      </c>
      <c r="M85" s="19">
        <f t="shared" si="11"/>
        <v>2023</v>
      </c>
      <c r="N85" s="19" t="str">
        <f t="shared" si="12"/>
        <v>06</v>
      </c>
      <c r="O85" s="19">
        <f t="shared" si="13"/>
        <v>17</v>
      </c>
      <c r="P85" s="18" t="str">
        <f t="shared" si="14"/>
        <v>20230617</v>
      </c>
      <c r="Q85" s="20"/>
      <c r="R85" s="18" t="s">
        <v>27</v>
      </c>
      <c r="S85" s="18">
        <f t="shared" ca="1" si="15"/>
        <v>2022</v>
      </c>
      <c r="T85" s="21">
        <f t="shared" ca="1" si="9"/>
        <v>12</v>
      </c>
      <c r="U85" s="21" t="str">
        <f t="shared" ca="1" si="10"/>
        <v>05</v>
      </c>
      <c r="V85" s="21" t="str">
        <f t="shared" ca="1" si="16"/>
        <v>20221205</v>
      </c>
      <c r="Z85" s="29" t="s">
        <v>799</v>
      </c>
      <c r="AA85" s="6" t="s">
        <v>838</v>
      </c>
      <c r="AB85" s="6" t="s">
        <v>4</v>
      </c>
      <c r="AC85" s="6" t="s">
        <v>843</v>
      </c>
      <c r="AD85" s="6" t="s">
        <v>4</v>
      </c>
      <c r="AE85" s="6" t="s">
        <v>839</v>
      </c>
      <c r="AF85" s="6" t="s">
        <v>4</v>
      </c>
      <c r="AG85" s="6" t="s">
        <v>840</v>
      </c>
      <c r="AH85" s="6" t="s">
        <v>4</v>
      </c>
      <c r="AI85" s="6" t="s">
        <v>841</v>
      </c>
      <c r="AJ85" s="6" t="s">
        <v>4</v>
      </c>
    </row>
    <row r="86" spans="1:36" ht="16.350000000000001" customHeight="1" x14ac:dyDescent="0.2">
      <c r="A86" s="43" t="s">
        <v>683</v>
      </c>
      <c r="B86" s="62">
        <v>1025320</v>
      </c>
      <c r="C86" s="42" t="s">
        <v>684</v>
      </c>
      <c r="D86" s="15" t="s">
        <v>158</v>
      </c>
      <c r="E86" s="42" t="s">
        <v>22</v>
      </c>
      <c r="F86" s="44">
        <v>44733</v>
      </c>
      <c r="G86" s="37" t="s">
        <v>682</v>
      </c>
      <c r="H86" s="42" t="s">
        <v>14</v>
      </c>
      <c r="I86" s="35" t="s">
        <v>23</v>
      </c>
      <c r="J86" s="56" t="s">
        <v>685</v>
      </c>
      <c r="L86" s="18" t="s">
        <v>2</v>
      </c>
      <c r="M86" s="19">
        <f t="shared" si="11"/>
        <v>2023</v>
      </c>
      <c r="N86" s="19" t="str">
        <f t="shared" si="12"/>
        <v>06</v>
      </c>
      <c r="O86" s="19">
        <f t="shared" si="13"/>
        <v>21</v>
      </c>
      <c r="P86" s="18" t="str">
        <f t="shared" si="14"/>
        <v>20230621</v>
      </c>
      <c r="Q86" s="20"/>
      <c r="R86" s="18" t="s">
        <v>27</v>
      </c>
      <c r="S86" s="18">
        <f t="shared" ca="1" si="15"/>
        <v>2022</v>
      </c>
      <c r="T86" s="21">
        <f t="shared" ca="1" si="9"/>
        <v>12</v>
      </c>
      <c r="U86" s="21" t="str">
        <f t="shared" ca="1" si="10"/>
        <v>05</v>
      </c>
      <c r="V86" s="21" t="str">
        <f t="shared" ca="1" si="16"/>
        <v>20221205</v>
      </c>
      <c r="Z86" s="6" t="s">
        <v>799</v>
      </c>
      <c r="AA86" s="6" t="s">
        <v>838</v>
      </c>
      <c r="AB86" s="6" t="s">
        <v>4</v>
      </c>
      <c r="AC86" s="6" t="s">
        <v>843</v>
      </c>
      <c r="AD86" s="6" t="s">
        <v>4</v>
      </c>
      <c r="AE86" s="6" t="s">
        <v>839</v>
      </c>
      <c r="AF86" s="6" t="s">
        <v>4</v>
      </c>
      <c r="AG86" s="6" t="s">
        <v>840</v>
      </c>
      <c r="AH86" s="6" t="s">
        <v>4</v>
      </c>
      <c r="AI86" s="6" t="s">
        <v>841</v>
      </c>
      <c r="AJ86" s="6" t="s">
        <v>4</v>
      </c>
    </row>
    <row r="87" spans="1:36" ht="16.350000000000001" customHeight="1" x14ac:dyDescent="0.2">
      <c r="A87" s="25" t="s">
        <v>540</v>
      </c>
      <c r="B87" s="53" t="s">
        <v>4</v>
      </c>
      <c r="C87" s="6" t="s">
        <v>541</v>
      </c>
      <c r="D87" s="15" t="s">
        <v>536</v>
      </c>
      <c r="E87" s="6" t="s">
        <v>430</v>
      </c>
      <c r="F87" s="31" t="s">
        <v>681</v>
      </c>
      <c r="G87" s="17" t="s">
        <v>682</v>
      </c>
      <c r="H87" s="6" t="s">
        <v>14</v>
      </c>
      <c r="I87" s="15" t="s">
        <v>529</v>
      </c>
      <c r="J87" s="55" t="s">
        <v>4</v>
      </c>
      <c r="L87" s="18" t="s">
        <v>2</v>
      </c>
      <c r="M87" s="19">
        <f t="shared" si="11"/>
        <v>2023</v>
      </c>
      <c r="N87" s="19" t="str">
        <f t="shared" si="12"/>
        <v>06</v>
      </c>
      <c r="O87" s="19">
        <f t="shared" si="13"/>
        <v>21</v>
      </c>
      <c r="P87" s="18" t="str">
        <f t="shared" si="14"/>
        <v>20230621</v>
      </c>
      <c r="Q87" s="20"/>
      <c r="R87" s="18" t="s">
        <v>27</v>
      </c>
      <c r="S87" s="18">
        <f t="shared" ca="1" si="15"/>
        <v>2022</v>
      </c>
      <c r="T87" s="21">
        <f t="shared" ca="1" si="9"/>
        <v>12</v>
      </c>
      <c r="U87" s="21" t="str">
        <f t="shared" ca="1" si="10"/>
        <v>05</v>
      </c>
      <c r="V87" s="21" t="str">
        <f t="shared" ca="1" si="16"/>
        <v>20221205</v>
      </c>
      <c r="Z87" s="29" t="s">
        <v>799</v>
      </c>
      <c r="AA87" s="6" t="s">
        <v>843</v>
      </c>
      <c r="AB87" s="6" t="s">
        <v>4</v>
      </c>
      <c r="AC87" s="6" t="s">
        <v>840</v>
      </c>
      <c r="AD87" s="6" t="s">
        <v>4</v>
      </c>
      <c r="AE87" s="6" t="s">
        <v>841</v>
      </c>
      <c r="AF87" s="6" t="s">
        <v>4</v>
      </c>
      <c r="AG87" s="6" t="s">
        <v>844</v>
      </c>
      <c r="AH87" s="6" t="s">
        <v>4</v>
      </c>
      <c r="AI87" s="6" t="s">
        <v>845</v>
      </c>
      <c r="AJ87" s="6" t="s">
        <v>4</v>
      </c>
    </row>
    <row r="88" spans="1:36" ht="16.350000000000001" customHeight="1" x14ac:dyDescent="0.2">
      <c r="A88" s="25" t="s">
        <v>542</v>
      </c>
      <c r="B88" s="53" t="s">
        <v>4</v>
      </c>
      <c r="C88" s="6" t="s">
        <v>543</v>
      </c>
      <c r="D88" s="15" t="s">
        <v>536</v>
      </c>
      <c r="E88" s="6" t="s">
        <v>430</v>
      </c>
      <c r="F88" s="31" t="s">
        <v>681</v>
      </c>
      <c r="G88" s="17" t="s">
        <v>682</v>
      </c>
      <c r="H88" s="6" t="s">
        <v>14</v>
      </c>
      <c r="I88" s="15" t="s">
        <v>544</v>
      </c>
      <c r="J88" s="55" t="s">
        <v>4</v>
      </c>
      <c r="L88" s="18" t="s">
        <v>2</v>
      </c>
      <c r="M88" s="19">
        <f t="shared" si="11"/>
        <v>2023</v>
      </c>
      <c r="N88" s="19" t="str">
        <f t="shared" si="12"/>
        <v>06</v>
      </c>
      <c r="O88" s="19">
        <f t="shared" si="13"/>
        <v>21</v>
      </c>
      <c r="P88" s="18" t="str">
        <f t="shared" si="14"/>
        <v>20230621</v>
      </c>
      <c r="Q88" s="20"/>
      <c r="R88" s="18" t="s">
        <v>27</v>
      </c>
      <c r="S88" s="18">
        <f t="shared" ca="1" si="15"/>
        <v>2022</v>
      </c>
      <c r="T88" s="21">
        <f t="shared" ca="1" si="9"/>
        <v>12</v>
      </c>
      <c r="U88" s="21" t="str">
        <f t="shared" ca="1" si="10"/>
        <v>05</v>
      </c>
      <c r="V88" s="21" t="str">
        <f t="shared" ca="1" si="16"/>
        <v>20221205</v>
      </c>
      <c r="Z88" s="6" t="s">
        <v>799</v>
      </c>
      <c r="AA88" s="6" t="s">
        <v>843</v>
      </c>
      <c r="AB88" s="6" t="s">
        <v>4</v>
      </c>
      <c r="AC88" s="6" t="s">
        <v>840</v>
      </c>
      <c r="AD88" s="6" t="s">
        <v>4</v>
      </c>
      <c r="AE88" s="6" t="s">
        <v>841</v>
      </c>
      <c r="AF88" s="6" t="s">
        <v>4</v>
      </c>
      <c r="AG88" s="6" t="s">
        <v>844</v>
      </c>
      <c r="AH88" s="6" t="s">
        <v>4</v>
      </c>
      <c r="AI88" s="6" t="s">
        <v>845</v>
      </c>
      <c r="AJ88" s="6" t="s">
        <v>4</v>
      </c>
    </row>
    <row r="89" spans="1:36" ht="16.350000000000001" customHeight="1" x14ac:dyDescent="0.2">
      <c r="A89" s="14" t="s">
        <v>547</v>
      </c>
      <c r="B89" s="60" t="s">
        <v>4</v>
      </c>
      <c r="C89" s="15" t="s">
        <v>548</v>
      </c>
      <c r="D89" s="15" t="s">
        <v>536</v>
      </c>
      <c r="E89" s="6" t="s">
        <v>430</v>
      </c>
      <c r="F89" s="31" t="s">
        <v>681</v>
      </c>
      <c r="G89" s="17" t="s">
        <v>682</v>
      </c>
      <c r="H89" s="6" t="s">
        <v>14</v>
      </c>
      <c r="I89" s="15" t="s">
        <v>544</v>
      </c>
      <c r="J89" s="54" t="s">
        <v>4</v>
      </c>
      <c r="L89" s="18" t="s">
        <v>2</v>
      </c>
      <c r="M89" s="19">
        <f t="shared" si="11"/>
        <v>2023</v>
      </c>
      <c r="N89" s="19" t="str">
        <f t="shared" si="12"/>
        <v>06</v>
      </c>
      <c r="O89" s="19">
        <f t="shared" si="13"/>
        <v>21</v>
      </c>
      <c r="P89" s="18" t="str">
        <f t="shared" si="14"/>
        <v>20230621</v>
      </c>
      <c r="Q89" s="20"/>
      <c r="R89" s="18" t="s">
        <v>27</v>
      </c>
      <c r="S89" s="18">
        <f t="shared" ca="1" si="15"/>
        <v>2022</v>
      </c>
      <c r="T89" s="21">
        <f t="shared" ca="1" si="9"/>
        <v>12</v>
      </c>
      <c r="U89" s="21" t="str">
        <f t="shared" ca="1" si="10"/>
        <v>05</v>
      </c>
      <c r="V89" s="21" t="str">
        <f t="shared" ca="1" si="16"/>
        <v>20221205</v>
      </c>
      <c r="Z89" s="29" t="s">
        <v>799</v>
      </c>
      <c r="AA89" s="6" t="s">
        <v>838</v>
      </c>
      <c r="AB89" s="6" t="s">
        <v>4</v>
      </c>
      <c r="AC89" s="6" t="s">
        <v>843</v>
      </c>
      <c r="AD89" s="6" t="s">
        <v>4</v>
      </c>
      <c r="AE89" s="6" t="s">
        <v>839</v>
      </c>
      <c r="AF89" s="6" t="s">
        <v>4</v>
      </c>
      <c r="AG89" s="6" t="s">
        <v>840</v>
      </c>
      <c r="AH89" s="6" t="s">
        <v>4</v>
      </c>
      <c r="AI89" s="6" t="s">
        <v>841</v>
      </c>
      <c r="AJ89" s="6" t="s">
        <v>4</v>
      </c>
    </row>
    <row r="90" spans="1:36" ht="16.350000000000001" customHeight="1" x14ac:dyDescent="0.2">
      <c r="A90" s="25" t="s">
        <v>527</v>
      </c>
      <c r="B90" s="53" t="s">
        <v>4</v>
      </c>
      <c r="C90" s="15" t="s">
        <v>528</v>
      </c>
      <c r="D90" s="15" t="s">
        <v>560</v>
      </c>
      <c r="E90" s="6" t="s">
        <v>430</v>
      </c>
      <c r="F90" s="31" t="s">
        <v>686</v>
      </c>
      <c r="G90" s="17" t="s">
        <v>682</v>
      </c>
      <c r="H90" s="6" t="s">
        <v>14</v>
      </c>
      <c r="I90" s="15" t="s">
        <v>529</v>
      </c>
      <c r="J90" s="55" t="s">
        <v>4</v>
      </c>
      <c r="L90" s="18" t="s">
        <v>2</v>
      </c>
      <c r="M90" s="19">
        <f t="shared" si="11"/>
        <v>2023</v>
      </c>
      <c r="N90" s="19" t="str">
        <f t="shared" si="12"/>
        <v>06</v>
      </c>
      <c r="O90" s="19">
        <f t="shared" si="13"/>
        <v>21</v>
      </c>
      <c r="P90" s="18" t="str">
        <f t="shared" si="14"/>
        <v>20230621</v>
      </c>
      <c r="Q90" s="20"/>
      <c r="R90" s="18" t="s">
        <v>27</v>
      </c>
      <c r="S90" s="18">
        <f t="shared" ca="1" si="15"/>
        <v>2022</v>
      </c>
      <c r="T90" s="21">
        <f t="shared" ca="1" si="9"/>
        <v>12</v>
      </c>
      <c r="U90" s="21" t="str">
        <f t="shared" ca="1" si="10"/>
        <v>05</v>
      </c>
      <c r="V90" s="21" t="str">
        <f t="shared" ca="1" si="16"/>
        <v>20221205</v>
      </c>
      <c r="Z90" s="6" t="s">
        <v>799</v>
      </c>
      <c r="AA90" s="6" t="s">
        <v>838</v>
      </c>
      <c r="AB90" s="6" t="s">
        <v>4</v>
      </c>
      <c r="AC90" s="6" t="s">
        <v>843</v>
      </c>
      <c r="AD90" s="6" t="s">
        <v>4</v>
      </c>
      <c r="AE90" s="6" t="s">
        <v>839</v>
      </c>
      <c r="AF90" s="6" t="s">
        <v>4</v>
      </c>
      <c r="AG90" s="6" t="s">
        <v>840</v>
      </c>
      <c r="AH90" s="6" t="s">
        <v>4</v>
      </c>
      <c r="AI90" s="6" t="s">
        <v>841</v>
      </c>
      <c r="AJ90" s="6" t="s">
        <v>4</v>
      </c>
    </row>
    <row r="91" spans="1:36" ht="16.350000000000001" customHeight="1" x14ac:dyDescent="0.2">
      <c r="A91" s="25" t="s">
        <v>113</v>
      </c>
      <c r="B91" s="61">
        <v>1025429</v>
      </c>
      <c r="C91" s="15" t="s">
        <v>108</v>
      </c>
      <c r="D91" s="15" t="s">
        <v>158</v>
      </c>
      <c r="E91" s="6" t="s">
        <v>22</v>
      </c>
      <c r="F91" s="31">
        <v>44368</v>
      </c>
      <c r="G91" s="17">
        <v>45099</v>
      </c>
      <c r="H91" s="6" t="s">
        <v>14</v>
      </c>
      <c r="I91" s="15" t="s">
        <v>110</v>
      </c>
      <c r="J91" s="55" t="s">
        <v>112</v>
      </c>
      <c r="L91" s="18" t="s">
        <v>2</v>
      </c>
      <c r="M91" s="19">
        <f t="shared" si="11"/>
        <v>2023</v>
      </c>
      <c r="N91" s="19" t="str">
        <f t="shared" si="12"/>
        <v>06</v>
      </c>
      <c r="O91" s="19">
        <f t="shared" si="13"/>
        <v>22</v>
      </c>
      <c r="P91" s="18" t="str">
        <f t="shared" si="14"/>
        <v>20230622</v>
      </c>
      <c r="Q91" s="20"/>
      <c r="R91" s="18" t="s">
        <v>27</v>
      </c>
      <c r="S91" s="18">
        <f t="shared" ca="1" si="15"/>
        <v>2022</v>
      </c>
      <c r="T91" s="21">
        <f t="shared" ca="1" si="9"/>
        <v>12</v>
      </c>
      <c r="U91" s="21" t="str">
        <f t="shared" ca="1" si="10"/>
        <v>05</v>
      </c>
      <c r="V91" s="21" t="str">
        <f t="shared" ca="1" si="16"/>
        <v>20221205</v>
      </c>
      <c r="Z91" s="29" t="s">
        <v>799</v>
      </c>
      <c r="AA91" s="6" t="s">
        <v>843</v>
      </c>
      <c r="AB91" s="6" t="s">
        <v>4</v>
      </c>
      <c r="AC91" s="6" t="s">
        <v>840</v>
      </c>
      <c r="AD91" s="6" t="s">
        <v>4</v>
      </c>
      <c r="AE91" s="6" t="s">
        <v>841</v>
      </c>
      <c r="AF91" s="6" t="s">
        <v>4</v>
      </c>
      <c r="AG91" s="6" t="s">
        <v>844</v>
      </c>
      <c r="AH91" s="6" t="s">
        <v>4</v>
      </c>
      <c r="AI91" s="6" t="s">
        <v>845</v>
      </c>
      <c r="AJ91" s="6" t="s">
        <v>4</v>
      </c>
    </row>
    <row r="92" spans="1:36" ht="16.350000000000001" hidden="1" customHeight="1" x14ac:dyDescent="0.2">
      <c r="A92" s="25" t="s">
        <v>532</v>
      </c>
      <c r="B92" s="53" t="s">
        <v>4</v>
      </c>
      <c r="C92" s="6" t="s">
        <v>533</v>
      </c>
      <c r="D92" s="15" t="s">
        <v>560</v>
      </c>
      <c r="E92" s="6" t="s">
        <v>430</v>
      </c>
      <c r="F92" s="31" t="s">
        <v>628</v>
      </c>
      <c r="G92" s="17" t="s">
        <v>628</v>
      </c>
      <c r="H92" s="6" t="s">
        <v>14</v>
      </c>
      <c r="I92" s="15" t="s">
        <v>424</v>
      </c>
      <c r="J92" s="55" t="s">
        <v>663</v>
      </c>
      <c r="L92" s="18" t="s">
        <v>2</v>
      </c>
      <c r="M92" s="19" t="e">
        <f t="shared" si="11"/>
        <v>#VALUE!</v>
      </c>
      <c r="N92" s="19" t="e">
        <f t="shared" si="12"/>
        <v>#VALUE!</v>
      </c>
      <c r="O92" s="19" t="e">
        <f t="shared" si="13"/>
        <v>#VALUE!</v>
      </c>
      <c r="P92" s="18" t="e">
        <f t="shared" si="14"/>
        <v>#VALUE!</v>
      </c>
      <c r="Q92" s="20"/>
      <c r="R92" s="18" t="s">
        <v>27</v>
      </c>
      <c r="S92" s="18">
        <f t="shared" ca="1" si="15"/>
        <v>2022</v>
      </c>
      <c r="T92" s="21">
        <f t="shared" ca="1" si="9"/>
        <v>12</v>
      </c>
      <c r="U92" s="21" t="str">
        <f t="shared" ca="1" si="10"/>
        <v>05</v>
      </c>
      <c r="V92" s="21" t="str">
        <f t="shared" ca="1" si="16"/>
        <v>20221205</v>
      </c>
      <c r="Z92" s="6" t="s">
        <v>628</v>
      </c>
      <c r="AA92" s="6" t="s">
        <v>578</v>
      </c>
      <c r="AB92" s="6" t="s">
        <v>578</v>
      </c>
      <c r="AC92" s="6" t="s">
        <v>578</v>
      </c>
      <c r="AD92" s="6" t="s">
        <v>578</v>
      </c>
      <c r="AE92" s="6" t="s">
        <v>578</v>
      </c>
      <c r="AF92" s="6" t="s">
        <v>578</v>
      </c>
      <c r="AG92" s="6" t="s">
        <v>578</v>
      </c>
      <c r="AH92" s="6" t="s">
        <v>578</v>
      </c>
      <c r="AI92" s="6" t="s">
        <v>578</v>
      </c>
      <c r="AJ92" s="6" t="s">
        <v>578</v>
      </c>
    </row>
    <row r="93" spans="1:36" ht="16.350000000000001" customHeight="1" x14ac:dyDescent="0.2">
      <c r="A93" s="43" t="s">
        <v>579</v>
      </c>
      <c r="B93" s="62">
        <v>362114510</v>
      </c>
      <c r="C93" s="42" t="s">
        <v>580</v>
      </c>
      <c r="D93" s="15" t="s">
        <v>461</v>
      </c>
      <c r="E93" s="42" t="s">
        <v>430</v>
      </c>
      <c r="F93" s="44">
        <v>44376</v>
      </c>
      <c r="G93" s="17" t="s">
        <v>581</v>
      </c>
      <c r="H93" s="42" t="s">
        <v>14</v>
      </c>
      <c r="I93" s="42" t="s">
        <v>23</v>
      </c>
      <c r="J93" s="56" t="s">
        <v>4</v>
      </c>
      <c r="L93" s="18" t="s">
        <v>2</v>
      </c>
      <c r="M93" s="19">
        <f t="shared" si="11"/>
        <v>2023</v>
      </c>
      <c r="N93" s="19" t="str">
        <f t="shared" si="12"/>
        <v>06</v>
      </c>
      <c r="O93" s="19">
        <f t="shared" si="13"/>
        <v>29</v>
      </c>
      <c r="P93" s="18" t="str">
        <f t="shared" si="14"/>
        <v>20230629</v>
      </c>
      <c r="Q93" s="20"/>
      <c r="R93" s="18" t="s">
        <v>27</v>
      </c>
      <c r="S93" s="18">
        <f t="shared" ca="1" si="15"/>
        <v>2022</v>
      </c>
      <c r="T93" s="21">
        <f t="shared" ca="1" si="9"/>
        <v>12</v>
      </c>
      <c r="U93" s="21" t="str">
        <f t="shared" ca="1" si="10"/>
        <v>05</v>
      </c>
      <c r="V93" s="21" t="str">
        <f t="shared" ca="1" si="16"/>
        <v>20221205</v>
      </c>
      <c r="Z93" s="29" t="s">
        <v>799</v>
      </c>
    </row>
    <row r="94" spans="1:36" ht="16.350000000000001" hidden="1" customHeight="1" x14ac:dyDescent="0.2">
      <c r="A94" s="25" t="s">
        <v>549</v>
      </c>
      <c r="B94" s="53" t="s">
        <v>4</v>
      </c>
      <c r="C94" s="6" t="s">
        <v>550</v>
      </c>
      <c r="D94" s="15" t="s">
        <v>536</v>
      </c>
      <c r="E94" s="6" t="s">
        <v>430</v>
      </c>
      <c r="F94" s="31" t="s">
        <v>681</v>
      </c>
      <c r="G94" s="17" t="s">
        <v>682</v>
      </c>
      <c r="H94" s="6" t="s">
        <v>14</v>
      </c>
      <c r="I94" s="6" t="s">
        <v>551</v>
      </c>
      <c r="J94" s="55" t="s">
        <v>4</v>
      </c>
      <c r="L94" s="18" t="s">
        <v>2</v>
      </c>
      <c r="M94" s="19">
        <f t="shared" si="11"/>
        <v>2023</v>
      </c>
      <c r="N94" s="19" t="str">
        <f t="shared" si="12"/>
        <v>06</v>
      </c>
      <c r="O94" s="19">
        <f t="shared" si="13"/>
        <v>21</v>
      </c>
      <c r="P94" s="18" t="str">
        <f t="shared" si="14"/>
        <v>20230621</v>
      </c>
      <c r="Q94" s="20"/>
      <c r="R94" s="18" t="s">
        <v>27</v>
      </c>
      <c r="S94" s="18">
        <f t="shared" ca="1" si="15"/>
        <v>2022</v>
      </c>
      <c r="T94" s="21">
        <f t="shared" ca="1" si="9"/>
        <v>12</v>
      </c>
      <c r="U94" s="21" t="str">
        <f t="shared" ca="1" si="10"/>
        <v>05</v>
      </c>
      <c r="V94" s="21" t="str">
        <f t="shared" ca="1" si="16"/>
        <v>20221205</v>
      </c>
      <c r="Z94" s="6" t="s">
        <v>628</v>
      </c>
    </row>
    <row r="95" spans="1:36" ht="16.350000000000001" customHeight="1" x14ac:dyDescent="0.2">
      <c r="A95" s="25" t="s">
        <v>582</v>
      </c>
      <c r="B95" s="61">
        <v>589000535</v>
      </c>
      <c r="C95" s="6" t="s">
        <v>583</v>
      </c>
      <c r="D95" s="15" t="s">
        <v>438</v>
      </c>
      <c r="E95" s="6" t="s">
        <v>10</v>
      </c>
      <c r="F95" s="31" t="s">
        <v>584</v>
      </c>
      <c r="G95" s="17" t="s">
        <v>585</v>
      </c>
      <c r="H95" s="6" t="s">
        <v>14</v>
      </c>
      <c r="I95" s="6" t="s">
        <v>439</v>
      </c>
      <c r="J95" s="55" t="s">
        <v>4</v>
      </c>
      <c r="L95" s="18" t="s">
        <v>2</v>
      </c>
      <c r="M95" s="19">
        <f t="shared" si="11"/>
        <v>2023</v>
      </c>
      <c r="N95" s="19" t="str">
        <f t="shared" si="12"/>
        <v>07</v>
      </c>
      <c r="O95" s="19" t="str">
        <f t="shared" si="13"/>
        <v>07</v>
      </c>
      <c r="P95" s="18" t="str">
        <f t="shared" si="14"/>
        <v>20230707</v>
      </c>
      <c r="Q95" s="20"/>
      <c r="R95" s="18" t="s">
        <v>27</v>
      </c>
      <c r="S95" s="18">
        <f t="shared" ca="1" si="15"/>
        <v>2022</v>
      </c>
      <c r="T95" s="21">
        <f t="shared" ca="1" si="9"/>
        <v>12</v>
      </c>
      <c r="U95" s="21" t="str">
        <f t="shared" ca="1" si="10"/>
        <v>05</v>
      </c>
      <c r="V95" s="21" t="str">
        <f t="shared" ca="1" si="16"/>
        <v>20221205</v>
      </c>
      <c r="Z95" s="29" t="s">
        <v>799</v>
      </c>
    </row>
    <row r="96" spans="1:36" ht="16.350000000000001" customHeight="1" x14ac:dyDescent="0.2">
      <c r="A96" s="25" t="s">
        <v>586</v>
      </c>
      <c r="B96" s="61">
        <v>58900535</v>
      </c>
      <c r="C96" s="6" t="s">
        <v>587</v>
      </c>
      <c r="D96" s="15" t="s">
        <v>588</v>
      </c>
      <c r="E96" s="6" t="s">
        <v>10</v>
      </c>
      <c r="F96" s="31" t="s">
        <v>584</v>
      </c>
      <c r="G96" s="17" t="s">
        <v>585</v>
      </c>
      <c r="H96" s="6" t="s">
        <v>14</v>
      </c>
      <c r="I96" s="6" t="s">
        <v>518</v>
      </c>
      <c r="J96" s="55" t="s">
        <v>4</v>
      </c>
      <c r="L96" s="18" t="s">
        <v>2</v>
      </c>
      <c r="M96" s="19">
        <f t="shared" si="11"/>
        <v>2023</v>
      </c>
      <c r="N96" s="19" t="str">
        <f t="shared" si="12"/>
        <v>07</v>
      </c>
      <c r="O96" s="19" t="str">
        <f t="shared" si="13"/>
        <v>07</v>
      </c>
      <c r="P96" s="18" t="str">
        <f t="shared" si="14"/>
        <v>20230707</v>
      </c>
      <c r="Q96" s="20"/>
      <c r="R96" s="18" t="s">
        <v>27</v>
      </c>
      <c r="S96" s="18">
        <f t="shared" ca="1" si="15"/>
        <v>2022</v>
      </c>
      <c r="T96" s="21">
        <f t="shared" ca="1" si="9"/>
        <v>12</v>
      </c>
      <c r="U96" s="21" t="str">
        <f t="shared" ca="1" si="10"/>
        <v>05</v>
      </c>
      <c r="V96" s="21" t="str">
        <f t="shared" ca="1" si="16"/>
        <v>20221205</v>
      </c>
      <c r="Z96" s="6" t="s">
        <v>799</v>
      </c>
    </row>
    <row r="97" spans="1:36" ht="16.350000000000001" customHeight="1" x14ac:dyDescent="0.2">
      <c r="A97" s="25" t="s">
        <v>577</v>
      </c>
      <c r="B97" s="61">
        <v>161406440</v>
      </c>
      <c r="C97" s="6" t="s">
        <v>595</v>
      </c>
      <c r="D97" s="15" t="s">
        <v>482</v>
      </c>
      <c r="E97" s="6" t="s">
        <v>430</v>
      </c>
      <c r="F97" s="31" t="s">
        <v>596</v>
      </c>
      <c r="G97" s="17" t="s">
        <v>598</v>
      </c>
      <c r="H97" s="6" t="s">
        <v>14</v>
      </c>
      <c r="I97" s="15" t="s">
        <v>13</v>
      </c>
      <c r="J97" s="55" t="s">
        <v>597</v>
      </c>
      <c r="L97" s="18" t="s">
        <v>2</v>
      </c>
      <c r="M97" s="19">
        <f t="shared" si="11"/>
        <v>2023</v>
      </c>
      <c r="N97" s="19" t="str">
        <f t="shared" si="12"/>
        <v>07</v>
      </c>
      <c r="O97" s="19">
        <f t="shared" si="13"/>
        <v>15</v>
      </c>
      <c r="P97" s="18" t="str">
        <f t="shared" si="14"/>
        <v>20230715</v>
      </c>
      <c r="Q97" s="20"/>
      <c r="R97" s="18" t="s">
        <v>27</v>
      </c>
      <c r="S97" s="18">
        <f t="shared" ca="1" si="15"/>
        <v>2022</v>
      </c>
      <c r="T97" s="21">
        <f t="shared" ca="1" si="9"/>
        <v>12</v>
      </c>
      <c r="U97" s="21" t="str">
        <f t="shared" ca="1" si="10"/>
        <v>05</v>
      </c>
      <c r="V97" s="21" t="str">
        <f t="shared" ca="1" si="16"/>
        <v>20221205</v>
      </c>
      <c r="Z97" s="29" t="s">
        <v>799</v>
      </c>
    </row>
    <row r="98" spans="1:36" ht="16.350000000000001" customHeight="1" x14ac:dyDescent="0.2">
      <c r="A98" s="25" t="s">
        <v>109</v>
      </c>
      <c r="B98" s="61">
        <v>1025429</v>
      </c>
      <c r="C98" s="6" t="s">
        <v>108</v>
      </c>
      <c r="D98" s="15" t="s">
        <v>158</v>
      </c>
      <c r="E98" s="6" t="s">
        <v>22</v>
      </c>
      <c r="F98" s="31" t="s">
        <v>599</v>
      </c>
      <c r="G98" s="17" t="s">
        <v>600</v>
      </c>
      <c r="H98" s="6" t="s">
        <v>14</v>
      </c>
      <c r="I98" s="15" t="s">
        <v>110</v>
      </c>
      <c r="J98" s="55" t="s">
        <v>112</v>
      </c>
      <c r="L98" s="18" t="s">
        <v>2</v>
      </c>
      <c r="M98" s="19">
        <f t="shared" si="11"/>
        <v>2023</v>
      </c>
      <c r="N98" s="19" t="str">
        <f t="shared" si="12"/>
        <v>08</v>
      </c>
      <c r="O98" s="19" t="str">
        <f t="shared" si="13"/>
        <v>03</v>
      </c>
      <c r="P98" s="18" t="str">
        <f t="shared" si="14"/>
        <v>20230803</v>
      </c>
      <c r="Q98" s="20"/>
      <c r="R98" s="18" t="s">
        <v>27</v>
      </c>
      <c r="S98" s="18">
        <f t="shared" ca="1" si="15"/>
        <v>2022</v>
      </c>
      <c r="T98" s="21">
        <f t="shared" ca="1" si="9"/>
        <v>12</v>
      </c>
      <c r="U98" s="21" t="str">
        <f t="shared" ca="1" si="10"/>
        <v>05</v>
      </c>
      <c r="V98" s="21" t="str">
        <f t="shared" ca="1" si="16"/>
        <v>20221205</v>
      </c>
      <c r="Z98" s="6" t="s">
        <v>799</v>
      </c>
    </row>
    <row r="99" spans="1:36" ht="16.350000000000001" customHeight="1" x14ac:dyDescent="0.2">
      <c r="A99" s="25" t="s">
        <v>354</v>
      </c>
      <c r="B99" s="53" t="s">
        <v>118</v>
      </c>
      <c r="C99" s="6" t="s">
        <v>355</v>
      </c>
      <c r="D99" s="15" t="s">
        <v>161</v>
      </c>
      <c r="E99" s="26" t="s">
        <v>22</v>
      </c>
      <c r="F99" s="27" t="s">
        <v>599</v>
      </c>
      <c r="G99" s="17" t="s">
        <v>600</v>
      </c>
      <c r="H99" s="26" t="s">
        <v>14</v>
      </c>
      <c r="I99" s="15" t="s">
        <v>13</v>
      </c>
      <c r="J99" s="55" t="s">
        <v>4</v>
      </c>
      <c r="L99" s="18" t="s">
        <v>2</v>
      </c>
      <c r="M99" s="19">
        <f t="shared" si="11"/>
        <v>2023</v>
      </c>
      <c r="N99" s="19" t="str">
        <f t="shared" si="12"/>
        <v>08</v>
      </c>
      <c r="O99" s="19" t="str">
        <f t="shared" si="13"/>
        <v>03</v>
      </c>
      <c r="P99" s="18" t="str">
        <f t="shared" si="14"/>
        <v>20230803</v>
      </c>
      <c r="Q99" s="20"/>
      <c r="R99" s="18" t="s">
        <v>27</v>
      </c>
      <c r="S99" s="18">
        <f t="shared" ca="1" si="15"/>
        <v>2022</v>
      </c>
      <c r="T99" s="21">
        <f t="shared" ca="1" si="9"/>
        <v>12</v>
      </c>
      <c r="U99" s="21" t="str">
        <f t="shared" ca="1" si="10"/>
        <v>05</v>
      </c>
      <c r="V99" s="21" t="str">
        <f t="shared" ca="1" si="16"/>
        <v>20221205</v>
      </c>
      <c r="Z99" s="29" t="s">
        <v>799</v>
      </c>
    </row>
    <row r="100" spans="1:36" ht="16.350000000000001" customHeight="1" x14ac:dyDescent="0.2">
      <c r="A100" s="25" t="s">
        <v>356</v>
      </c>
      <c r="B100" s="53" t="s">
        <v>121</v>
      </c>
      <c r="C100" s="6" t="s">
        <v>357</v>
      </c>
      <c r="D100" s="15" t="s">
        <v>161</v>
      </c>
      <c r="E100" s="26" t="s">
        <v>22</v>
      </c>
      <c r="F100" s="27" t="s">
        <v>599</v>
      </c>
      <c r="G100" s="17" t="s">
        <v>600</v>
      </c>
      <c r="H100" s="26" t="s">
        <v>14</v>
      </c>
      <c r="I100" s="6" t="s">
        <v>13</v>
      </c>
      <c r="J100" s="55" t="s">
        <v>4</v>
      </c>
      <c r="L100" s="18" t="s">
        <v>2</v>
      </c>
      <c r="M100" s="19">
        <f t="shared" si="11"/>
        <v>2023</v>
      </c>
      <c r="N100" s="19" t="str">
        <f t="shared" si="12"/>
        <v>08</v>
      </c>
      <c r="O100" s="19" t="str">
        <f t="shared" si="13"/>
        <v>03</v>
      </c>
      <c r="P100" s="18" t="str">
        <f t="shared" si="14"/>
        <v>20230803</v>
      </c>
      <c r="Q100" s="20"/>
      <c r="R100" s="18" t="s">
        <v>27</v>
      </c>
      <c r="S100" s="18">
        <f t="shared" ca="1" si="15"/>
        <v>2022</v>
      </c>
      <c r="T100" s="21">
        <f t="shared" ca="1" si="9"/>
        <v>12</v>
      </c>
      <c r="U100" s="21" t="str">
        <f t="shared" ca="1" si="10"/>
        <v>05</v>
      </c>
      <c r="V100" s="21" t="str">
        <f t="shared" ca="1" si="16"/>
        <v>20221205</v>
      </c>
      <c r="Z100" s="6" t="s">
        <v>799</v>
      </c>
    </row>
    <row r="101" spans="1:36" ht="16.350000000000001" customHeight="1" x14ac:dyDescent="0.2">
      <c r="A101" s="25" t="s">
        <v>623</v>
      </c>
      <c r="B101" s="53" t="s">
        <v>425</v>
      </c>
      <c r="C101" s="6" t="s">
        <v>426</v>
      </c>
      <c r="D101" s="15" t="s">
        <v>423</v>
      </c>
      <c r="E101" s="6" t="s">
        <v>430</v>
      </c>
      <c r="F101" s="31" t="s">
        <v>604</v>
      </c>
      <c r="G101" s="17" t="s">
        <v>728</v>
      </c>
      <c r="H101" s="6" t="s">
        <v>14</v>
      </c>
      <c r="I101" s="6" t="s">
        <v>424</v>
      </c>
      <c r="J101" s="55" t="s">
        <v>605</v>
      </c>
      <c r="L101" s="18" t="s">
        <v>2</v>
      </c>
      <c r="M101" s="19">
        <f t="shared" si="11"/>
        <v>2023</v>
      </c>
      <c r="N101" s="19" t="str">
        <f t="shared" si="12"/>
        <v>08</v>
      </c>
      <c r="O101" s="19" t="str">
        <f t="shared" si="13"/>
        <v>05</v>
      </c>
      <c r="P101" s="18" t="str">
        <f t="shared" si="14"/>
        <v>20230805</v>
      </c>
      <c r="Q101" s="20"/>
      <c r="R101" s="18" t="s">
        <v>27</v>
      </c>
      <c r="S101" s="18">
        <f t="shared" ca="1" si="15"/>
        <v>2022</v>
      </c>
      <c r="T101" s="21">
        <f t="shared" ca="1" si="9"/>
        <v>12</v>
      </c>
      <c r="U101" s="21" t="str">
        <f t="shared" ca="1" si="10"/>
        <v>05</v>
      </c>
      <c r="V101" s="21" t="str">
        <f t="shared" ca="1" si="16"/>
        <v>20221205</v>
      </c>
      <c r="Z101" s="29" t="s">
        <v>799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</row>
    <row r="102" spans="1:36" ht="16.350000000000001" customHeight="1" x14ac:dyDescent="0.2">
      <c r="A102" s="43" t="s">
        <v>611</v>
      </c>
      <c r="B102" s="62" t="s">
        <v>733</v>
      </c>
      <c r="C102" s="42" t="s">
        <v>612</v>
      </c>
      <c r="D102" s="15" t="s">
        <v>613</v>
      </c>
      <c r="E102" s="42" t="s">
        <v>430</v>
      </c>
      <c r="F102" s="44" t="s">
        <v>730</v>
      </c>
      <c r="G102" s="17" t="s">
        <v>732</v>
      </c>
      <c r="H102" s="42" t="s">
        <v>14</v>
      </c>
      <c r="I102" s="35" t="s">
        <v>12</v>
      </c>
      <c r="J102" s="56" t="s">
        <v>4</v>
      </c>
      <c r="L102" s="18" t="s">
        <v>2</v>
      </c>
      <c r="M102" s="19">
        <f t="shared" si="11"/>
        <v>2023</v>
      </c>
      <c r="N102" s="19" t="str">
        <f t="shared" si="12"/>
        <v>08</v>
      </c>
      <c r="O102" s="19" t="str">
        <f t="shared" si="13"/>
        <v>09</v>
      </c>
      <c r="P102" s="18" t="str">
        <f t="shared" si="14"/>
        <v>20230809</v>
      </c>
      <c r="Q102" s="20"/>
      <c r="R102" s="18" t="s">
        <v>27</v>
      </c>
      <c r="S102" s="18">
        <f t="shared" ca="1" si="15"/>
        <v>2022</v>
      </c>
      <c r="T102" s="21">
        <f t="shared" ca="1" si="9"/>
        <v>12</v>
      </c>
      <c r="U102" s="21" t="str">
        <f t="shared" ca="1" si="10"/>
        <v>05</v>
      </c>
      <c r="V102" s="21" t="str">
        <f t="shared" ca="1" si="16"/>
        <v>20221205</v>
      </c>
      <c r="Z102" s="6" t="s">
        <v>799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</row>
    <row r="103" spans="1:36" ht="16.350000000000001" hidden="1" customHeight="1" x14ac:dyDescent="0.2">
      <c r="A103" s="25" t="s">
        <v>561</v>
      </c>
      <c r="B103" s="53" t="s">
        <v>4</v>
      </c>
      <c r="C103" s="6" t="s">
        <v>562</v>
      </c>
      <c r="D103" s="15" t="s">
        <v>563</v>
      </c>
      <c r="E103" s="6" t="s">
        <v>430</v>
      </c>
      <c r="F103" s="31" t="s">
        <v>628</v>
      </c>
      <c r="G103" s="17" t="s">
        <v>628</v>
      </c>
      <c r="H103" s="6" t="s">
        <v>14</v>
      </c>
      <c r="I103" s="15" t="s">
        <v>424</v>
      </c>
      <c r="J103" s="55" t="s">
        <v>628</v>
      </c>
      <c r="L103" s="18" t="s">
        <v>2</v>
      </c>
      <c r="M103" s="19" t="e">
        <f t="shared" si="11"/>
        <v>#VALUE!</v>
      </c>
      <c r="N103" s="19" t="e">
        <f t="shared" si="12"/>
        <v>#VALUE!</v>
      </c>
      <c r="O103" s="19" t="e">
        <f t="shared" si="13"/>
        <v>#VALUE!</v>
      </c>
      <c r="P103" s="18" t="e">
        <f t="shared" si="14"/>
        <v>#VALUE!</v>
      </c>
      <c r="Q103" s="20"/>
      <c r="R103" s="18" t="s">
        <v>27</v>
      </c>
      <c r="S103" s="18">
        <f t="shared" ca="1" si="15"/>
        <v>2022</v>
      </c>
      <c r="T103" s="21">
        <f t="shared" ca="1" si="9"/>
        <v>12</v>
      </c>
      <c r="U103" s="21" t="str">
        <f t="shared" ca="1" si="10"/>
        <v>05</v>
      </c>
      <c r="V103" s="21" t="str">
        <f t="shared" ca="1" si="16"/>
        <v>20221205</v>
      </c>
      <c r="Z103" s="29" t="s">
        <v>628</v>
      </c>
    </row>
    <row r="104" spans="1:36" ht="16.350000000000001" customHeight="1" x14ac:dyDescent="0.2">
      <c r="A104" s="25" t="s">
        <v>114</v>
      </c>
      <c r="B104" s="53" t="s">
        <v>115</v>
      </c>
      <c r="C104" s="6" t="s">
        <v>116</v>
      </c>
      <c r="D104" s="15" t="s">
        <v>158</v>
      </c>
      <c r="E104" s="6" t="s">
        <v>22</v>
      </c>
      <c r="F104" s="31" t="s">
        <v>617</v>
      </c>
      <c r="G104" s="17" t="s">
        <v>618</v>
      </c>
      <c r="H104" s="6" t="s">
        <v>14</v>
      </c>
      <c r="I104" s="15" t="s">
        <v>19</v>
      </c>
      <c r="J104" s="55" t="s">
        <v>4</v>
      </c>
      <c r="L104" s="18" t="s">
        <v>2</v>
      </c>
      <c r="M104" s="19">
        <f t="shared" si="11"/>
        <v>2023</v>
      </c>
      <c r="N104" s="19" t="str">
        <f t="shared" si="12"/>
        <v>08</v>
      </c>
      <c r="O104" s="19">
        <f t="shared" si="13"/>
        <v>14</v>
      </c>
      <c r="P104" s="18" t="str">
        <f t="shared" si="14"/>
        <v>20230814</v>
      </c>
      <c r="Q104" s="20"/>
      <c r="R104" s="18" t="s">
        <v>27</v>
      </c>
      <c r="S104" s="18">
        <f t="shared" ca="1" si="15"/>
        <v>2022</v>
      </c>
      <c r="T104" s="21">
        <f t="shared" ca="1" si="9"/>
        <v>12</v>
      </c>
      <c r="U104" s="21" t="str">
        <f t="shared" ca="1" si="10"/>
        <v>05</v>
      </c>
      <c r="V104" s="21" t="str">
        <f t="shared" ca="1" si="16"/>
        <v>20221205</v>
      </c>
      <c r="Z104" s="6" t="s">
        <v>799</v>
      </c>
    </row>
    <row r="105" spans="1:36" ht="16.350000000000001" hidden="1" customHeight="1" x14ac:dyDescent="0.2">
      <c r="A105" s="43" t="s">
        <v>606</v>
      </c>
      <c r="B105" s="63" t="s">
        <v>607</v>
      </c>
      <c r="C105" s="42" t="s">
        <v>608</v>
      </c>
      <c r="D105" s="15" t="s">
        <v>609</v>
      </c>
      <c r="E105" s="42" t="s">
        <v>430</v>
      </c>
      <c r="F105" s="44" t="s">
        <v>730</v>
      </c>
      <c r="G105" s="17" t="s">
        <v>732</v>
      </c>
      <c r="H105" s="42" t="s">
        <v>14</v>
      </c>
      <c r="I105" s="35" t="s">
        <v>12</v>
      </c>
      <c r="J105" s="56" t="s">
        <v>610</v>
      </c>
      <c r="L105" s="18" t="s">
        <v>2</v>
      </c>
      <c r="M105" s="19">
        <f t="shared" si="11"/>
        <v>2023</v>
      </c>
      <c r="N105" s="19" t="str">
        <f t="shared" si="12"/>
        <v>08</v>
      </c>
      <c r="O105" s="19" t="str">
        <f t="shared" si="13"/>
        <v>09</v>
      </c>
      <c r="P105" s="18" t="str">
        <f t="shared" si="14"/>
        <v>20230809</v>
      </c>
      <c r="Q105" s="20"/>
      <c r="R105" s="18" t="s">
        <v>27</v>
      </c>
      <c r="S105" s="18">
        <f t="shared" ca="1" si="15"/>
        <v>2022</v>
      </c>
      <c r="T105" s="21">
        <f t="shared" ca="1" si="9"/>
        <v>12</v>
      </c>
      <c r="U105" s="21" t="str">
        <f t="shared" ca="1" si="10"/>
        <v>05</v>
      </c>
      <c r="V105" s="21" t="str">
        <f t="shared" ca="1" si="16"/>
        <v>20221205</v>
      </c>
      <c r="Z105" s="29" t="s">
        <v>628</v>
      </c>
    </row>
    <row r="106" spans="1:36" ht="16.350000000000001" customHeight="1" x14ac:dyDescent="0.2">
      <c r="A106" s="25" t="s">
        <v>117</v>
      </c>
      <c r="B106" s="53" t="s">
        <v>118</v>
      </c>
      <c r="C106" s="6" t="s">
        <v>119</v>
      </c>
      <c r="D106" s="15" t="s">
        <v>158</v>
      </c>
      <c r="E106" s="6" t="s">
        <v>22</v>
      </c>
      <c r="F106" s="31" t="s">
        <v>617</v>
      </c>
      <c r="G106" s="17" t="s">
        <v>618</v>
      </c>
      <c r="H106" s="6" t="s">
        <v>14</v>
      </c>
      <c r="I106" s="15" t="s">
        <v>19</v>
      </c>
      <c r="J106" s="55" t="s">
        <v>4</v>
      </c>
      <c r="L106" s="18" t="s">
        <v>2</v>
      </c>
      <c r="M106" s="19">
        <f t="shared" si="11"/>
        <v>2023</v>
      </c>
      <c r="N106" s="19" t="str">
        <f t="shared" si="12"/>
        <v>08</v>
      </c>
      <c r="O106" s="19">
        <f t="shared" si="13"/>
        <v>14</v>
      </c>
      <c r="P106" s="18" t="str">
        <f t="shared" si="14"/>
        <v>20230814</v>
      </c>
      <c r="Q106" s="20"/>
      <c r="R106" s="18" t="s">
        <v>27</v>
      </c>
      <c r="S106" s="18">
        <f t="shared" ca="1" si="15"/>
        <v>2022</v>
      </c>
      <c r="T106" s="21">
        <f t="shared" ca="1" si="9"/>
        <v>12</v>
      </c>
      <c r="U106" s="21" t="str">
        <f t="shared" ca="1" si="10"/>
        <v>05</v>
      </c>
      <c r="V106" s="21" t="str">
        <f t="shared" ca="1" si="16"/>
        <v>20221205</v>
      </c>
      <c r="Z106" s="6" t="s">
        <v>799</v>
      </c>
    </row>
    <row r="107" spans="1:36" ht="16.350000000000001" customHeight="1" x14ac:dyDescent="0.2">
      <c r="A107" s="25" t="s">
        <v>120</v>
      </c>
      <c r="B107" s="53" t="s">
        <v>121</v>
      </c>
      <c r="C107" s="6" t="s">
        <v>122</v>
      </c>
      <c r="D107" s="15" t="s">
        <v>158</v>
      </c>
      <c r="E107" s="6" t="s">
        <v>22</v>
      </c>
      <c r="F107" s="31" t="s">
        <v>617</v>
      </c>
      <c r="G107" s="17" t="s">
        <v>618</v>
      </c>
      <c r="H107" s="6" t="s">
        <v>14</v>
      </c>
      <c r="I107" s="15" t="s">
        <v>19</v>
      </c>
      <c r="J107" s="55" t="s">
        <v>4</v>
      </c>
      <c r="L107" s="18" t="s">
        <v>2</v>
      </c>
      <c r="M107" s="19">
        <f t="shared" si="11"/>
        <v>2023</v>
      </c>
      <c r="N107" s="19" t="str">
        <f t="shared" si="12"/>
        <v>08</v>
      </c>
      <c r="O107" s="19">
        <f t="shared" si="13"/>
        <v>14</v>
      </c>
      <c r="P107" s="18" t="str">
        <f t="shared" si="14"/>
        <v>20230814</v>
      </c>
      <c r="Q107" s="20"/>
      <c r="R107" s="18" t="s">
        <v>27</v>
      </c>
      <c r="S107" s="18">
        <f t="shared" ca="1" si="15"/>
        <v>2022</v>
      </c>
      <c r="T107" s="21">
        <f t="shared" ca="1" si="9"/>
        <v>12</v>
      </c>
      <c r="U107" s="21" t="str">
        <f t="shared" ca="1" si="10"/>
        <v>05</v>
      </c>
      <c r="V107" s="21" t="str">
        <f t="shared" ca="1" si="16"/>
        <v>20221205</v>
      </c>
      <c r="Z107" s="29" t="s">
        <v>799</v>
      </c>
    </row>
    <row r="108" spans="1:36" ht="16.350000000000001" customHeight="1" x14ac:dyDescent="0.2">
      <c r="A108" s="25" t="s">
        <v>352</v>
      </c>
      <c r="B108" s="53" t="s">
        <v>115</v>
      </c>
      <c r="C108" s="6" t="s">
        <v>353</v>
      </c>
      <c r="D108" s="15" t="s">
        <v>161</v>
      </c>
      <c r="E108" s="26" t="s">
        <v>22</v>
      </c>
      <c r="F108" s="27">
        <v>44426</v>
      </c>
      <c r="G108" s="17" t="s">
        <v>614</v>
      </c>
      <c r="H108" s="26" t="s">
        <v>14</v>
      </c>
      <c r="I108" s="6" t="s">
        <v>13</v>
      </c>
      <c r="J108" s="55" t="s">
        <v>4</v>
      </c>
      <c r="L108" s="18" t="s">
        <v>2</v>
      </c>
      <c r="M108" s="19">
        <f t="shared" si="11"/>
        <v>2023</v>
      </c>
      <c r="N108" s="19" t="str">
        <f t="shared" si="12"/>
        <v>08</v>
      </c>
      <c r="O108" s="19">
        <f t="shared" si="13"/>
        <v>18</v>
      </c>
      <c r="P108" s="18" t="str">
        <f t="shared" si="14"/>
        <v>20230818</v>
      </c>
      <c r="Q108" s="20"/>
      <c r="R108" s="18" t="s">
        <v>27</v>
      </c>
      <c r="S108" s="18">
        <f t="shared" ca="1" si="15"/>
        <v>2022</v>
      </c>
      <c r="T108" s="21">
        <f t="shared" ca="1" si="9"/>
        <v>12</v>
      </c>
      <c r="U108" s="21" t="str">
        <f t="shared" ca="1" si="10"/>
        <v>05</v>
      </c>
      <c r="V108" s="21" t="str">
        <f t="shared" ca="1" si="16"/>
        <v>20221205</v>
      </c>
      <c r="Z108" s="6" t="s">
        <v>799</v>
      </c>
    </row>
    <row r="109" spans="1:36" ht="16.350000000000001" customHeight="1" x14ac:dyDescent="0.2">
      <c r="A109" s="25" t="s">
        <v>534</v>
      </c>
      <c r="B109" s="61" t="s">
        <v>735</v>
      </c>
      <c r="C109" s="6" t="s">
        <v>535</v>
      </c>
      <c r="D109" s="15" t="s">
        <v>536</v>
      </c>
      <c r="E109" s="6" t="s">
        <v>430</v>
      </c>
      <c r="F109" s="31" t="s">
        <v>837</v>
      </c>
      <c r="G109" s="17" t="s">
        <v>736</v>
      </c>
      <c r="H109" s="6" t="s">
        <v>14</v>
      </c>
      <c r="I109" s="6" t="s">
        <v>537</v>
      </c>
      <c r="J109" s="55" t="s">
        <v>4</v>
      </c>
      <c r="L109" s="18" t="s">
        <v>2</v>
      </c>
      <c r="M109" s="19">
        <f t="shared" si="11"/>
        <v>2023</v>
      </c>
      <c r="N109" s="19" t="str">
        <f t="shared" si="12"/>
        <v>08</v>
      </c>
      <c r="O109" s="19">
        <f t="shared" si="13"/>
        <v>23</v>
      </c>
      <c r="P109" s="18" t="str">
        <f t="shared" si="14"/>
        <v>20230823</v>
      </c>
      <c r="Q109" s="20"/>
      <c r="R109" s="18" t="s">
        <v>27</v>
      </c>
      <c r="S109" s="18">
        <f t="shared" ca="1" si="15"/>
        <v>2022</v>
      </c>
      <c r="T109" s="21">
        <f t="shared" ca="1" si="9"/>
        <v>12</v>
      </c>
      <c r="U109" s="21" t="str">
        <f t="shared" ca="1" si="10"/>
        <v>05</v>
      </c>
      <c r="V109" s="21" t="str">
        <f t="shared" ca="1" si="16"/>
        <v>20221205</v>
      </c>
      <c r="Z109" s="29" t="s">
        <v>799</v>
      </c>
    </row>
    <row r="110" spans="1:36" ht="16.350000000000001" customHeight="1" x14ac:dyDescent="0.2">
      <c r="A110" s="25" t="s">
        <v>477</v>
      </c>
      <c r="B110" s="61">
        <v>302114510</v>
      </c>
      <c r="C110" s="6" t="s">
        <v>478</v>
      </c>
      <c r="D110" s="15" t="s">
        <v>468</v>
      </c>
      <c r="E110" s="6" t="s">
        <v>430</v>
      </c>
      <c r="F110" s="31" t="s">
        <v>615</v>
      </c>
      <c r="G110" s="17" t="s">
        <v>616</v>
      </c>
      <c r="H110" s="6" t="s">
        <v>14</v>
      </c>
      <c r="I110" s="6" t="s">
        <v>479</v>
      </c>
      <c r="J110" s="55" t="s">
        <v>470</v>
      </c>
      <c r="L110" s="18" t="s">
        <v>2</v>
      </c>
      <c r="M110" s="19">
        <f t="shared" si="11"/>
        <v>2023</v>
      </c>
      <c r="N110" s="19" t="str">
        <f t="shared" si="12"/>
        <v>08</v>
      </c>
      <c r="O110" s="19">
        <f t="shared" si="13"/>
        <v>25</v>
      </c>
      <c r="P110" s="18" t="str">
        <f t="shared" si="14"/>
        <v>20230825</v>
      </c>
      <c r="Q110" s="20"/>
      <c r="R110" s="18" t="s">
        <v>27</v>
      </c>
      <c r="S110" s="18">
        <f t="shared" ca="1" si="15"/>
        <v>2022</v>
      </c>
      <c r="T110" s="21">
        <f t="shared" ca="1" si="9"/>
        <v>12</v>
      </c>
      <c r="U110" s="21" t="str">
        <f t="shared" ca="1" si="10"/>
        <v>05</v>
      </c>
      <c r="V110" s="21" t="str">
        <f t="shared" ca="1" si="16"/>
        <v>20221205</v>
      </c>
      <c r="Z110" s="6" t="s">
        <v>799</v>
      </c>
    </row>
    <row r="111" spans="1:36" ht="16.350000000000001" customHeight="1" x14ac:dyDescent="0.2">
      <c r="A111" s="43" t="s">
        <v>619</v>
      </c>
      <c r="B111" s="62">
        <v>58900563</v>
      </c>
      <c r="C111" s="42" t="s">
        <v>620</v>
      </c>
      <c r="D111" s="15" t="s">
        <v>158</v>
      </c>
      <c r="E111" s="42" t="s">
        <v>10</v>
      </c>
      <c r="F111" s="44" t="s">
        <v>621</v>
      </c>
      <c r="G111" s="37" t="s">
        <v>622</v>
      </c>
      <c r="H111" s="42" t="s">
        <v>14</v>
      </c>
      <c r="I111" s="42" t="s">
        <v>13</v>
      </c>
      <c r="J111" s="56" t="s">
        <v>4</v>
      </c>
      <c r="L111" s="18" t="s">
        <v>2</v>
      </c>
      <c r="M111" s="19">
        <f t="shared" si="11"/>
        <v>2023</v>
      </c>
      <c r="N111" s="19" t="str">
        <f t="shared" si="12"/>
        <v>09</v>
      </c>
      <c r="O111" s="19" t="str">
        <f t="shared" si="13"/>
        <v>08</v>
      </c>
      <c r="P111" s="18" t="str">
        <f t="shared" si="14"/>
        <v>20230908</v>
      </c>
      <c r="Q111" s="20"/>
      <c r="R111" s="18" t="s">
        <v>27</v>
      </c>
      <c r="S111" s="18">
        <f t="shared" ca="1" si="15"/>
        <v>2022</v>
      </c>
      <c r="T111" s="21">
        <f t="shared" ca="1" si="9"/>
        <v>12</v>
      </c>
      <c r="U111" s="21" t="str">
        <f t="shared" ca="1" si="10"/>
        <v>05</v>
      </c>
      <c r="V111" s="21" t="str">
        <f t="shared" ca="1" si="16"/>
        <v>20221205</v>
      </c>
      <c r="Z111" s="29" t="s">
        <v>799</v>
      </c>
    </row>
    <row r="112" spans="1:36" ht="16.350000000000001" customHeight="1" x14ac:dyDescent="0.2">
      <c r="A112" s="43" t="s">
        <v>624</v>
      </c>
      <c r="B112" s="62">
        <v>58900526</v>
      </c>
      <c r="C112" s="42" t="s">
        <v>625</v>
      </c>
      <c r="D112" s="15" t="s">
        <v>161</v>
      </c>
      <c r="E112" s="42" t="s">
        <v>10</v>
      </c>
      <c r="F112" s="44" t="s">
        <v>621</v>
      </c>
      <c r="G112" s="37" t="s">
        <v>622</v>
      </c>
      <c r="H112" s="42" t="s">
        <v>4</v>
      </c>
      <c r="I112" s="42" t="s">
        <v>19</v>
      </c>
      <c r="J112" s="56" t="s">
        <v>4</v>
      </c>
      <c r="L112" s="18" t="s">
        <v>2</v>
      </c>
      <c r="M112" s="19">
        <f t="shared" si="11"/>
        <v>2023</v>
      </c>
      <c r="N112" s="19" t="str">
        <f t="shared" si="12"/>
        <v>09</v>
      </c>
      <c r="O112" s="19" t="str">
        <f t="shared" si="13"/>
        <v>08</v>
      </c>
      <c r="P112" s="18" t="str">
        <f t="shared" si="14"/>
        <v>20230908</v>
      </c>
      <c r="Q112" s="20"/>
      <c r="R112" s="18" t="s">
        <v>27</v>
      </c>
      <c r="S112" s="18">
        <f t="shared" ca="1" si="15"/>
        <v>2022</v>
      </c>
      <c r="T112" s="21">
        <f t="shared" ca="1" si="9"/>
        <v>12</v>
      </c>
      <c r="U112" s="21" t="str">
        <f t="shared" ca="1" si="10"/>
        <v>05</v>
      </c>
      <c r="V112" s="21" t="str">
        <f t="shared" ca="1" si="16"/>
        <v>20221205</v>
      </c>
      <c r="Z112" s="6" t="s">
        <v>799</v>
      </c>
    </row>
    <row r="113" spans="1:36" ht="16.350000000000001" customHeight="1" x14ac:dyDescent="0.2">
      <c r="A113" s="25" t="s">
        <v>484</v>
      </c>
      <c r="B113" s="61">
        <v>161504440</v>
      </c>
      <c r="C113" s="6" t="s">
        <v>481</v>
      </c>
      <c r="D113" s="15" t="s">
        <v>482</v>
      </c>
      <c r="E113" s="6" t="s">
        <v>430</v>
      </c>
      <c r="F113" s="31" t="s">
        <v>630</v>
      </c>
      <c r="G113" s="17" t="s">
        <v>631</v>
      </c>
      <c r="H113" s="6" t="s">
        <v>14</v>
      </c>
      <c r="I113" s="6" t="s">
        <v>138</v>
      </c>
      <c r="J113" s="55" t="s">
        <v>470</v>
      </c>
      <c r="L113" s="18" t="s">
        <v>2</v>
      </c>
      <c r="M113" s="19">
        <f t="shared" si="11"/>
        <v>2023</v>
      </c>
      <c r="N113" s="19">
        <f t="shared" si="12"/>
        <v>10</v>
      </c>
      <c r="O113" s="19">
        <f t="shared" si="13"/>
        <v>20</v>
      </c>
      <c r="P113" s="18" t="str">
        <f t="shared" si="14"/>
        <v>20231020</v>
      </c>
      <c r="Q113" s="20"/>
      <c r="R113" s="18" t="s">
        <v>27</v>
      </c>
      <c r="S113" s="18">
        <f t="shared" ca="1" si="15"/>
        <v>2022</v>
      </c>
      <c r="T113" s="21">
        <f t="shared" ca="1" si="9"/>
        <v>12</v>
      </c>
      <c r="U113" s="21" t="str">
        <f t="shared" ca="1" si="10"/>
        <v>05</v>
      </c>
      <c r="V113" s="21" t="str">
        <f t="shared" ca="1" si="16"/>
        <v>20221205</v>
      </c>
      <c r="Z113" s="29" t="s">
        <v>799</v>
      </c>
    </row>
    <row r="114" spans="1:36" ht="16.350000000000001" customHeight="1" x14ac:dyDescent="0.2">
      <c r="A114" s="25" t="s">
        <v>480</v>
      </c>
      <c r="B114" s="61">
        <v>161504440</v>
      </c>
      <c r="C114" s="6" t="s">
        <v>481</v>
      </c>
      <c r="D114" s="15" t="s">
        <v>482</v>
      </c>
      <c r="E114" s="6" t="s">
        <v>430</v>
      </c>
      <c r="F114" s="31" t="s">
        <v>630</v>
      </c>
      <c r="G114" s="17" t="s">
        <v>631</v>
      </c>
      <c r="H114" s="6" t="s">
        <v>14</v>
      </c>
      <c r="I114" s="6" t="s">
        <v>23</v>
      </c>
      <c r="J114" s="55" t="s">
        <v>470</v>
      </c>
      <c r="L114" s="18" t="s">
        <v>2</v>
      </c>
      <c r="M114" s="19">
        <f t="shared" si="11"/>
        <v>2023</v>
      </c>
      <c r="N114" s="19">
        <f t="shared" si="12"/>
        <v>10</v>
      </c>
      <c r="O114" s="19">
        <f t="shared" si="13"/>
        <v>20</v>
      </c>
      <c r="P114" s="18" t="str">
        <f t="shared" si="14"/>
        <v>20231020</v>
      </c>
      <c r="Q114" s="20"/>
      <c r="R114" s="18" t="s">
        <v>27</v>
      </c>
      <c r="S114" s="18">
        <f t="shared" ca="1" si="15"/>
        <v>2022</v>
      </c>
      <c r="T114" s="21">
        <f t="shared" ca="1" si="9"/>
        <v>12</v>
      </c>
      <c r="U114" s="21" t="str">
        <f t="shared" ca="1" si="10"/>
        <v>05</v>
      </c>
      <c r="V114" s="21" t="str">
        <f t="shared" ca="1" si="16"/>
        <v>20221205</v>
      </c>
      <c r="Z114" s="6" t="s">
        <v>799</v>
      </c>
    </row>
    <row r="115" spans="1:36" ht="16.350000000000001" customHeight="1" x14ac:dyDescent="0.2">
      <c r="A115" s="25" t="s">
        <v>483</v>
      </c>
      <c r="B115" s="61">
        <v>161504440</v>
      </c>
      <c r="C115" s="6" t="s">
        <v>481</v>
      </c>
      <c r="D115" s="15" t="s">
        <v>482</v>
      </c>
      <c r="E115" s="6" t="s">
        <v>430</v>
      </c>
      <c r="F115" s="31">
        <v>44489</v>
      </c>
      <c r="G115" s="17" t="s">
        <v>631</v>
      </c>
      <c r="H115" s="6" t="s">
        <v>14</v>
      </c>
      <c r="I115" s="6" t="s">
        <v>23</v>
      </c>
      <c r="J115" s="55" t="s">
        <v>470</v>
      </c>
      <c r="L115" s="18" t="s">
        <v>2</v>
      </c>
      <c r="M115" s="19">
        <f t="shared" si="11"/>
        <v>2023</v>
      </c>
      <c r="N115" s="19">
        <f t="shared" si="12"/>
        <v>10</v>
      </c>
      <c r="O115" s="19">
        <f t="shared" si="13"/>
        <v>20</v>
      </c>
      <c r="P115" s="18" t="str">
        <f t="shared" si="14"/>
        <v>20231020</v>
      </c>
      <c r="Q115" s="20"/>
      <c r="R115" s="18" t="s">
        <v>27</v>
      </c>
      <c r="S115" s="18">
        <f t="shared" ca="1" si="15"/>
        <v>2022</v>
      </c>
      <c r="T115" s="21">
        <f t="shared" ca="1" si="9"/>
        <v>12</v>
      </c>
      <c r="U115" s="21" t="str">
        <f t="shared" ca="1" si="10"/>
        <v>05</v>
      </c>
      <c r="V115" s="21" t="str">
        <f t="shared" ca="1" si="16"/>
        <v>20221205</v>
      </c>
      <c r="Z115" s="29" t="s">
        <v>799</v>
      </c>
    </row>
    <row r="116" spans="1:36" ht="16.350000000000001" customHeight="1" x14ac:dyDescent="0.2">
      <c r="A116" s="25" t="s">
        <v>626</v>
      </c>
      <c r="B116" s="61">
        <v>58900526</v>
      </c>
      <c r="C116" s="42" t="s">
        <v>625</v>
      </c>
      <c r="D116" s="15" t="s">
        <v>158</v>
      </c>
      <c r="E116" s="42" t="s">
        <v>10</v>
      </c>
      <c r="F116" s="31">
        <v>44490</v>
      </c>
      <c r="G116" s="37" t="s">
        <v>632</v>
      </c>
      <c r="H116" s="6" t="s">
        <v>14</v>
      </c>
      <c r="I116" s="6" t="s">
        <v>19</v>
      </c>
      <c r="J116" s="55" t="s">
        <v>727</v>
      </c>
      <c r="L116" s="18" t="s">
        <v>2</v>
      </c>
      <c r="M116" s="19">
        <f t="shared" si="11"/>
        <v>2023</v>
      </c>
      <c r="N116" s="19">
        <f t="shared" si="12"/>
        <v>10</v>
      </c>
      <c r="O116" s="19">
        <f t="shared" si="13"/>
        <v>21</v>
      </c>
      <c r="P116" s="18" t="str">
        <f t="shared" si="14"/>
        <v>20231021</v>
      </c>
      <c r="Q116" s="20"/>
      <c r="R116" s="18" t="s">
        <v>27</v>
      </c>
      <c r="S116" s="18">
        <f t="shared" ca="1" si="15"/>
        <v>2022</v>
      </c>
      <c r="T116" s="21">
        <f t="shared" ca="1" si="9"/>
        <v>12</v>
      </c>
      <c r="U116" s="21" t="str">
        <f t="shared" ca="1" si="10"/>
        <v>05</v>
      </c>
      <c r="V116" s="21" t="str">
        <f t="shared" ca="1" si="16"/>
        <v>20221205</v>
      </c>
      <c r="Z116" s="6" t="s">
        <v>799</v>
      </c>
    </row>
    <row r="117" spans="1:36" ht="16.350000000000001" customHeight="1" x14ac:dyDescent="0.2">
      <c r="A117" s="25" t="s">
        <v>390</v>
      </c>
      <c r="B117" s="53" t="s">
        <v>629</v>
      </c>
      <c r="C117" s="6" t="s">
        <v>391</v>
      </c>
      <c r="D117" s="15" t="s">
        <v>161</v>
      </c>
      <c r="E117" s="26" t="s">
        <v>22</v>
      </c>
      <c r="F117" s="27">
        <v>44489</v>
      </c>
      <c r="G117" s="17">
        <f>F117+731</f>
        <v>45220</v>
      </c>
      <c r="H117" s="6" t="s">
        <v>14</v>
      </c>
      <c r="I117" s="26" t="s">
        <v>19</v>
      </c>
      <c r="L117" s="18" t="s">
        <v>2</v>
      </c>
      <c r="M117" s="19">
        <f t="shared" si="11"/>
        <v>2023</v>
      </c>
      <c r="N117" s="19">
        <f t="shared" si="12"/>
        <v>10</v>
      </c>
      <c r="O117" s="19">
        <f t="shared" si="13"/>
        <v>21</v>
      </c>
      <c r="P117" s="18" t="str">
        <f t="shared" si="14"/>
        <v>20231021</v>
      </c>
      <c r="Q117" s="20"/>
      <c r="R117" s="18" t="s">
        <v>27</v>
      </c>
      <c r="S117" s="18">
        <f t="shared" ca="1" si="15"/>
        <v>2022</v>
      </c>
      <c r="T117" s="21">
        <f t="shared" ca="1" si="9"/>
        <v>12</v>
      </c>
      <c r="U117" s="21" t="str">
        <f t="shared" ca="1" si="10"/>
        <v>05</v>
      </c>
      <c r="V117" s="21" t="str">
        <f t="shared" ca="1" si="16"/>
        <v>20221205</v>
      </c>
      <c r="Z117" s="29" t="s">
        <v>799</v>
      </c>
    </row>
    <row r="118" spans="1:36" ht="16.350000000000001" customHeight="1" x14ac:dyDescent="0.2">
      <c r="A118" s="25" t="s">
        <v>420</v>
      </c>
      <c r="B118" s="53" t="s">
        <v>421</v>
      </c>
      <c r="C118" s="6" t="s">
        <v>422</v>
      </c>
      <c r="D118" s="15" t="s">
        <v>423</v>
      </c>
      <c r="E118" s="6" t="s">
        <v>430</v>
      </c>
      <c r="F118" s="31">
        <v>44495</v>
      </c>
      <c r="G118" s="17" t="s">
        <v>634</v>
      </c>
      <c r="H118" s="6" t="s">
        <v>640</v>
      </c>
      <c r="I118" s="6" t="s">
        <v>424</v>
      </c>
      <c r="J118" s="55" t="s">
        <v>639</v>
      </c>
      <c r="L118" s="18" t="s">
        <v>2</v>
      </c>
      <c r="M118" s="19">
        <f t="shared" si="11"/>
        <v>2023</v>
      </c>
      <c r="N118" s="19">
        <f t="shared" si="12"/>
        <v>10</v>
      </c>
      <c r="O118" s="19">
        <f t="shared" si="13"/>
        <v>26</v>
      </c>
      <c r="P118" s="18" t="str">
        <f t="shared" si="14"/>
        <v>20231026</v>
      </c>
      <c r="Q118" s="20"/>
      <c r="R118" s="18" t="s">
        <v>27</v>
      </c>
      <c r="S118" s="18">
        <f t="shared" ca="1" si="15"/>
        <v>2022</v>
      </c>
      <c r="T118" s="21">
        <f t="shared" ca="1" si="9"/>
        <v>12</v>
      </c>
      <c r="U118" s="21" t="str">
        <f t="shared" ca="1" si="10"/>
        <v>05</v>
      </c>
      <c r="V118" s="21" t="str">
        <f t="shared" ca="1" si="16"/>
        <v>20221205</v>
      </c>
      <c r="Z118" s="6" t="s">
        <v>799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</row>
    <row r="119" spans="1:36" ht="16.350000000000001" customHeight="1" x14ac:dyDescent="0.2">
      <c r="A119" s="25" t="s">
        <v>570</v>
      </c>
      <c r="B119" s="53" t="s">
        <v>4</v>
      </c>
      <c r="C119" s="6" t="s">
        <v>571</v>
      </c>
      <c r="D119" s="15" t="s">
        <v>572</v>
      </c>
      <c r="E119" s="6" t="s">
        <v>430</v>
      </c>
      <c r="F119" s="31" t="s">
        <v>633</v>
      </c>
      <c r="G119" s="37" t="s">
        <v>634</v>
      </c>
      <c r="H119" s="6" t="s">
        <v>14</v>
      </c>
      <c r="I119" s="6" t="s">
        <v>544</v>
      </c>
      <c r="J119" s="55" t="s">
        <v>4</v>
      </c>
      <c r="L119" s="18" t="s">
        <v>2</v>
      </c>
      <c r="M119" s="19">
        <f t="shared" si="11"/>
        <v>2023</v>
      </c>
      <c r="N119" s="19">
        <f t="shared" si="12"/>
        <v>10</v>
      </c>
      <c r="O119" s="19">
        <f t="shared" si="13"/>
        <v>26</v>
      </c>
      <c r="P119" s="18" t="str">
        <f t="shared" si="14"/>
        <v>20231026</v>
      </c>
      <c r="Q119" s="20"/>
      <c r="R119" s="18" t="s">
        <v>27</v>
      </c>
      <c r="S119" s="18">
        <f t="shared" ca="1" si="15"/>
        <v>2022</v>
      </c>
      <c r="T119" s="21">
        <f t="shared" ca="1" si="9"/>
        <v>12</v>
      </c>
      <c r="U119" s="21" t="str">
        <f t="shared" ca="1" si="10"/>
        <v>05</v>
      </c>
      <c r="V119" s="21" t="str">
        <f t="shared" ca="1" si="16"/>
        <v>20221205</v>
      </c>
      <c r="Z119" s="29" t="s">
        <v>799</v>
      </c>
    </row>
    <row r="120" spans="1:36" ht="16.350000000000001" customHeight="1" x14ac:dyDescent="0.2">
      <c r="A120" s="25" t="s">
        <v>92</v>
      </c>
      <c r="B120" s="53" t="s">
        <v>93</v>
      </c>
      <c r="C120" s="6" t="s">
        <v>94</v>
      </c>
      <c r="D120" s="15" t="s">
        <v>158</v>
      </c>
      <c r="E120" s="6" t="s">
        <v>91</v>
      </c>
      <c r="F120" s="31" t="s">
        <v>635</v>
      </c>
      <c r="G120" s="17" t="s">
        <v>636</v>
      </c>
      <c r="H120" s="6" t="s">
        <v>14</v>
      </c>
      <c r="I120" s="6" t="s">
        <v>95</v>
      </c>
      <c r="J120" s="55" t="s">
        <v>4</v>
      </c>
      <c r="L120" s="18" t="s">
        <v>2</v>
      </c>
      <c r="M120" s="19">
        <f t="shared" si="11"/>
        <v>2023</v>
      </c>
      <c r="N120" s="19">
        <f t="shared" si="12"/>
        <v>10</v>
      </c>
      <c r="O120" s="19">
        <f t="shared" si="13"/>
        <v>27</v>
      </c>
      <c r="P120" s="18" t="str">
        <f t="shared" si="14"/>
        <v>20231027</v>
      </c>
      <c r="Q120" s="20"/>
      <c r="R120" s="18" t="s">
        <v>27</v>
      </c>
      <c r="S120" s="18">
        <f t="shared" ca="1" si="15"/>
        <v>2022</v>
      </c>
      <c r="T120" s="21">
        <f t="shared" ca="1" si="9"/>
        <v>12</v>
      </c>
      <c r="U120" s="21" t="str">
        <f t="shared" ca="1" si="10"/>
        <v>05</v>
      </c>
      <c r="V120" s="21" t="str">
        <f t="shared" ca="1" si="16"/>
        <v>20221205</v>
      </c>
      <c r="Z120" s="6" t="s">
        <v>799</v>
      </c>
    </row>
    <row r="121" spans="1:36" ht="16.350000000000001" customHeight="1" x14ac:dyDescent="0.2">
      <c r="A121" s="25" t="s">
        <v>361</v>
      </c>
      <c r="B121" s="61">
        <v>1025429</v>
      </c>
      <c r="C121" s="6" t="s">
        <v>362</v>
      </c>
      <c r="D121" s="15" t="s">
        <v>161</v>
      </c>
      <c r="E121" s="26" t="s">
        <v>22</v>
      </c>
      <c r="F121" s="27" t="s">
        <v>641</v>
      </c>
      <c r="G121" s="17" t="s">
        <v>642</v>
      </c>
      <c r="H121" s="26" t="s">
        <v>14</v>
      </c>
      <c r="I121" s="26" t="s">
        <v>395</v>
      </c>
      <c r="J121" s="55" t="s">
        <v>417</v>
      </c>
      <c r="L121" s="18" t="s">
        <v>2</v>
      </c>
      <c r="M121" s="19">
        <f t="shared" si="11"/>
        <v>2023</v>
      </c>
      <c r="N121" s="19">
        <f t="shared" si="12"/>
        <v>11</v>
      </c>
      <c r="O121" s="19" t="str">
        <f t="shared" si="13"/>
        <v>05</v>
      </c>
      <c r="P121" s="18" t="str">
        <f t="shared" si="14"/>
        <v>20231105</v>
      </c>
      <c r="Q121" s="20"/>
      <c r="R121" s="18" t="s">
        <v>27</v>
      </c>
      <c r="S121" s="18">
        <f t="shared" ca="1" si="15"/>
        <v>2022</v>
      </c>
      <c r="T121" s="21">
        <f t="shared" ca="1" si="9"/>
        <v>12</v>
      </c>
      <c r="U121" s="21" t="str">
        <f t="shared" ca="1" si="10"/>
        <v>05</v>
      </c>
      <c r="V121" s="21" t="str">
        <f t="shared" ca="1" si="16"/>
        <v>20221205</v>
      </c>
      <c r="Z121" s="29" t="s">
        <v>799</v>
      </c>
    </row>
    <row r="122" spans="1:36" ht="16.350000000000001" customHeight="1" x14ac:dyDescent="0.2">
      <c r="A122" s="25" t="s">
        <v>485</v>
      </c>
      <c r="B122" s="61">
        <v>302114510</v>
      </c>
      <c r="C122" s="6" t="s">
        <v>478</v>
      </c>
      <c r="D122" s="15" t="s">
        <v>468</v>
      </c>
      <c r="E122" s="6" t="s">
        <v>430</v>
      </c>
      <c r="F122" s="31" t="s">
        <v>643</v>
      </c>
      <c r="G122" s="37" t="s">
        <v>644</v>
      </c>
      <c r="H122" s="6" t="s">
        <v>14</v>
      </c>
      <c r="I122" s="6" t="s">
        <v>138</v>
      </c>
      <c r="J122" s="55" t="s">
        <v>4</v>
      </c>
      <c r="L122" s="18" t="s">
        <v>2</v>
      </c>
      <c r="M122" s="19">
        <f t="shared" si="11"/>
        <v>2023</v>
      </c>
      <c r="N122" s="19">
        <f t="shared" si="12"/>
        <v>11</v>
      </c>
      <c r="O122" s="19" t="str">
        <f t="shared" si="13"/>
        <v>09</v>
      </c>
      <c r="P122" s="18" t="str">
        <f t="shared" si="14"/>
        <v>20231109</v>
      </c>
      <c r="Q122" s="20"/>
      <c r="R122" s="18" t="s">
        <v>27</v>
      </c>
      <c r="S122" s="18">
        <f t="shared" ca="1" si="15"/>
        <v>2022</v>
      </c>
      <c r="T122" s="21">
        <f t="shared" ca="1" si="9"/>
        <v>12</v>
      </c>
      <c r="U122" s="21" t="str">
        <f t="shared" ca="1" si="10"/>
        <v>05</v>
      </c>
      <c r="V122" s="21" t="str">
        <f t="shared" ca="1" si="16"/>
        <v>20221205</v>
      </c>
      <c r="Z122" s="6" t="s">
        <v>799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</row>
    <row r="123" spans="1:36" ht="16.350000000000001" customHeight="1" x14ac:dyDescent="0.2">
      <c r="A123" s="25" t="s">
        <v>126</v>
      </c>
      <c r="B123" s="61">
        <v>5268572</v>
      </c>
      <c r="C123" s="6" t="s">
        <v>127</v>
      </c>
      <c r="D123" s="15" t="s">
        <v>158</v>
      </c>
      <c r="E123" s="6" t="s">
        <v>22</v>
      </c>
      <c r="F123" s="31" t="s">
        <v>645</v>
      </c>
      <c r="G123" s="17" t="s">
        <v>646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1"/>
        <v>2023</v>
      </c>
      <c r="N123" s="19">
        <f t="shared" si="12"/>
        <v>11</v>
      </c>
      <c r="O123" s="19">
        <f t="shared" si="13"/>
        <v>12</v>
      </c>
      <c r="P123" s="18" t="str">
        <f t="shared" si="14"/>
        <v>20231112</v>
      </c>
      <c r="Q123" s="20"/>
      <c r="R123" s="18" t="s">
        <v>27</v>
      </c>
      <c r="S123" s="18">
        <f t="shared" ca="1" si="15"/>
        <v>2022</v>
      </c>
      <c r="T123" s="21">
        <f t="shared" ca="1" si="9"/>
        <v>12</v>
      </c>
      <c r="U123" s="21" t="str">
        <f t="shared" ca="1" si="10"/>
        <v>05</v>
      </c>
      <c r="V123" s="21" t="str">
        <f t="shared" ca="1" si="16"/>
        <v>20221205</v>
      </c>
      <c r="Z123" s="29" t="s">
        <v>799</v>
      </c>
    </row>
    <row r="124" spans="1:36" ht="16.350000000000001" customHeight="1" x14ac:dyDescent="0.2">
      <c r="A124" s="25" t="s">
        <v>486</v>
      </c>
      <c r="B124" s="61">
        <v>302114510</v>
      </c>
      <c r="C124" s="6" t="s">
        <v>478</v>
      </c>
      <c r="D124" s="15" t="s">
        <v>468</v>
      </c>
      <c r="E124" s="6" t="s">
        <v>430</v>
      </c>
      <c r="F124" s="31" t="s">
        <v>647</v>
      </c>
      <c r="G124" s="37" t="s">
        <v>648</v>
      </c>
      <c r="H124" s="6" t="s">
        <v>14</v>
      </c>
      <c r="I124" s="6" t="s">
        <v>138</v>
      </c>
      <c r="J124" s="55" t="s">
        <v>4</v>
      </c>
      <c r="L124" s="18" t="s">
        <v>2</v>
      </c>
      <c r="M124" s="19">
        <f t="shared" si="11"/>
        <v>2023</v>
      </c>
      <c r="N124" s="19">
        <f t="shared" si="12"/>
        <v>12</v>
      </c>
      <c r="O124" s="19" t="str">
        <f t="shared" si="13"/>
        <v>07</v>
      </c>
      <c r="P124" s="18" t="str">
        <f t="shared" si="14"/>
        <v>20231207</v>
      </c>
      <c r="Q124" s="20"/>
      <c r="R124" s="18" t="s">
        <v>27</v>
      </c>
      <c r="S124" s="18">
        <f t="shared" ca="1" si="15"/>
        <v>2022</v>
      </c>
      <c r="T124" s="21">
        <f t="shared" ca="1" si="9"/>
        <v>12</v>
      </c>
      <c r="U124" s="21" t="str">
        <f t="shared" ca="1" si="10"/>
        <v>05</v>
      </c>
      <c r="V124" s="21" t="str">
        <f t="shared" ca="1" si="16"/>
        <v>20221205</v>
      </c>
      <c r="Z124" s="6" t="s">
        <v>799</v>
      </c>
    </row>
    <row r="125" spans="1:36" ht="16.350000000000001" customHeight="1" x14ac:dyDescent="0.2">
      <c r="A125" s="25" t="s">
        <v>487</v>
      </c>
      <c r="B125" s="61" t="s">
        <v>787</v>
      </c>
      <c r="C125" s="6" t="s">
        <v>488</v>
      </c>
      <c r="D125" s="15" t="s">
        <v>468</v>
      </c>
      <c r="E125" s="6" t="s">
        <v>430</v>
      </c>
      <c r="F125" s="31" t="s">
        <v>647</v>
      </c>
      <c r="G125" s="37" t="s">
        <v>648</v>
      </c>
      <c r="H125" s="6" t="s">
        <v>14</v>
      </c>
      <c r="I125" s="6" t="s">
        <v>12</v>
      </c>
      <c r="J125" s="55" t="s">
        <v>4</v>
      </c>
      <c r="L125" s="18" t="s">
        <v>2</v>
      </c>
      <c r="M125" s="19">
        <f t="shared" si="11"/>
        <v>2023</v>
      </c>
      <c r="N125" s="19">
        <f t="shared" si="12"/>
        <v>12</v>
      </c>
      <c r="O125" s="19" t="str">
        <f t="shared" si="13"/>
        <v>07</v>
      </c>
      <c r="P125" s="18" t="str">
        <f t="shared" si="14"/>
        <v>20231207</v>
      </c>
      <c r="Q125" s="20"/>
      <c r="R125" s="18" t="s">
        <v>27</v>
      </c>
      <c r="S125" s="18">
        <f t="shared" ca="1" si="15"/>
        <v>2022</v>
      </c>
      <c r="T125" s="21">
        <f t="shared" ca="1" si="9"/>
        <v>12</v>
      </c>
      <c r="U125" s="21" t="str">
        <f t="shared" ca="1" si="10"/>
        <v>05</v>
      </c>
      <c r="V125" s="21" t="str">
        <f t="shared" ca="1" si="16"/>
        <v>20221205</v>
      </c>
      <c r="Z125" s="29" t="s">
        <v>799</v>
      </c>
    </row>
    <row r="126" spans="1:36" ht="16.350000000000001" customHeight="1" x14ac:dyDescent="0.2">
      <c r="A126" s="49" t="s">
        <v>266</v>
      </c>
      <c r="B126" s="64" t="s">
        <v>402</v>
      </c>
      <c r="C126" s="29" t="s">
        <v>267</v>
      </c>
      <c r="D126" s="28" t="s">
        <v>161</v>
      </c>
      <c r="E126" s="29" t="s">
        <v>91</v>
      </c>
      <c r="F126" s="50" t="s">
        <v>649</v>
      </c>
      <c r="G126" s="30" t="s">
        <v>650</v>
      </c>
      <c r="H126" s="29" t="s">
        <v>14</v>
      </c>
      <c r="I126" s="29" t="s">
        <v>13</v>
      </c>
      <c r="J126" s="57" t="s">
        <v>4</v>
      </c>
      <c r="L126" s="18" t="s">
        <v>2</v>
      </c>
      <c r="M126" s="19">
        <f t="shared" si="11"/>
        <v>2023</v>
      </c>
      <c r="N126" s="19">
        <f t="shared" si="12"/>
        <v>12</v>
      </c>
      <c r="O126" s="19" t="str">
        <f t="shared" si="13"/>
        <v>08</v>
      </c>
      <c r="P126" s="18" t="str">
        <f t="shared" si="14"/>
        <v>20231208</v>
      </c>
      <c r="Q126" s="20"/>
      <c r="R126" s="18" t="s">
        <v>27</v>
      </c>
      <c r="S126" s="18">
        <f t="shared" ca="1" si="15"/>
        <v>2022</v>
      </c>
      <c r="T126" s="21">
        <f t="shared" ca="1" si="9"/>
        <v>12</v>
      </c>
      <c r="U126" s="21" t="str">
        <f t="shared" ca="1" si="10"/>
        <v>05</v>
      </c>
      <c r="V126" s="21" t="str">
        <f t="shared" ca="1" si="16"/>
        <v>20221205</v>
      </c>
      <c r="Z126" s="6" t="s">
        <v>799</v>
      </c>
    </row>
    <row r="127" spans="1:36" ht="16.350000000000001" customHeight="1" x14ac:dyDescent="0.2">
      <c r="A127" s="25" t="s">
        <v>128</v>
      </c>
      <c r="B127" s="61">
        <v>1025320</v>
      </c>
      <c r="C127" s="6" t="s">
        <v>129</v>
      </c>
      <c r="D127" s="15" t="s">
        <v>158</v>
      </c>
      <c r="E127" s="6" t="s">
        <v>22</v>
      </c>
      <c r="F127" s="31" t="s">
        <v>661</v>
      </c>
      <c r="G127" s="17" t="s">
        <v>660</v>
      </c>
      <c r="H127" s="6" t="s">
        <v>14</v>
      </c>
      <c r="I127" s="6" t="s">
        <v>19</v>
      </c>
      <c r="J127" s="55" t="s">
        <v>4</v>
      </c>
      <c r="L127" s="18" t="s">
        <v>2</v>
      </c>
      <c r="M127" s="19">
        <f t="shared" si="11"/>
        <v>2024</v>
      </c>
      <c r="N127" s="19" t="str">
        <f t="shared" si="12"/>
        <v>02</v>
      </c>
      <c r="O127" s="19" t="str">
        <f t="shared" si="13"/>
        <v>07</v>
      </c>
      <c r="P127" s="18" t="str">
        <f t="shared" si="14"/>
        <v>20240207</v>
      </c>
      <c r="Q127" s="20"/>
      <c r="R127" s="18" t="s">
        <v>27</v>
      </c>
      <c r="S127" s="18">
        <f t="shared" ca="1" si="15"/>
        <v>2022</v>
      </c>
      <c r="T127" s="21">
        <f t="shared" ref="T127:T168" ca="1" si="18">IF(MONTH(TODAY())&lt;10,CONCATENATE(0,MONTH(TODAY())),MONTH(TODAY()))</f>
        <v>12</v>
      </c>
      <c r="U127" s="21" t="str">
        <f t="shared" ref="U127:U168" ca="1" si="19">IF(DAY(TODAY())&lt;10,CONCATENATE(0,DAY(TODAY())),DAY(TODAY()))</f>
        <v>05</v>
      </c>
      <c r="V127" s="21" t="str">
        <f t="shared" ca="1" si="16"/>
        <v>20221205</v>
      </c>
      <c r="Z127" s="29" t="s">
        <v>799</v>
      </c>
    </row>
    <row r="128" spans="1:36" ht="16.350000000000001" customHeight="1" x14ac:dyDescent="0.2">
      <c r="A128" s="25" t="s">
        <v>130</v>
      </c>
      <c r="B128" s="53" t="s">
        <v>131</v>
      </c>
      <c r="C128" s="6" t="s">
        <v>132</v>
      </c>
      <c r="D128" s="15" t="s">
        <v>158</v>
      </c>
      <c r="E128" s="6" t="s">
        <v>22</v>
      </c>
      <c r="F128" s="31">
        <v>44599</v>
      </c>
      <c r="G128" s="17" t="s">
        <v>660</v>
      </c>
      <c r="H128" s="6" t="s">
        <v>14</v>
      </c>
      <c r="I128" s="6" t="s">
        <v>19</v>
      </c>
      <c r="L128" s="18" t="s">
        <v>2</v>
      </c>
      <c r="M128" s="19">
        <f t="shared" si="11"/>
        <v>2024</v>
      </c>
      <c r="N128" s="19" t="str">
        <f t="shared" si="12"/>
        <v>02</v>
      </c>
      <c r="O128" s="19" t="str">
        <f t="shared" si="13"/>
        <v>07</v>
      </c>
      <c r="P128" s="18" t="str">
        <f t="shared" si="14"/>
        <v>20240207</v>
      </c>
      <c r="Q128" s="20"/>
      <c r="R128" s="18" t="s">
        <v>27</v>
      </c>
      <c r="S128" s="18">
        <f t="shared" ca="1" si="15"/>
        <v>2022</v>
      </c>
      <c r="T128" s="21">
        <f t="shared" ca="1" si="18"/>
        <v>12</v>
      </c>
      <c r="U128" s="21" t="str">
        <f t="shared" ca="1" si="19"/>
        <v>05</v>
      </c>
      <c r="V128" s="21" t="str">
        <f t="shared" ca="1" si="16"/>
        <v>20221205</v>
      </c>
      <c r="Z128" s="6" t="s">
        <v>799</v>
      </c>
    </row>
    <row r="129" spans="1:26" ht="16.350000000000001" customHeight="1" x14ac:dyDescent="0.2">
      <c r="A129" s="25" t="s">
        <v>133</v>
      </c>
      <c r="B129" s="61">
        <v>1025271</v>
      </c>
      <c r="C129" s="6" t="s">
        <v>134</v>
      </c>
      <c r="D129" s="15" t="s">
        <v>158</v>
      </c>
      <c r="E129" s="6" t="s">
        <v>22</v>
      </c>
      <c r="F129" s="31" t="s">
        <v>661</v>
      </c>
      <c r="G129" s="17" t="s">
        <v>660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20">YEAR(G129)</f>
        <v>2024</v>
      </c>
      <c r="N129" s="19" t="str">
        <f t="shared" ref="N129:N192" si="21">IF(MONTH(G129)&lt;10,CONCATENATE(0,MONTH(G129)),MONTH(G129))</f>
        <v>02</v>
      </c>
      <c r="O129" s="19" t="str">
        <f t="shared" ref="O129:O192" si="22">IF(DAY(G129)&lt;10,CONCATENATE(0,DAY(G129)),DAY(G129))</f>
        <v>07</v>
      </c>
      <c r="P129" s="18" t="str">
        <f t="shared" ref="P129:P170" si="23">CONCATENATE(M129,N129,O129)</f>
        <v>20240207</v>
      </c>
      <c r="Q129" s="20"/>
      <c r="R129" s="18" t="s">
        <v>27</v>
      </c>
      <c r="S129" s="18">
        <f t="shared" ref="S129:S170" ca="1" si="24">YEAR(TODAY())</f>
        <v>2022</v>
      </c>
      <c r="T129" s="21">
        <f t="shared" ca="1" si="18"/>
        <v>12</v>
      </c>
      <c r="U129" s="21" t="str">
        <f t="shared" ca="1" si="19"/>
        <v>05</v>
      </c>
      <c r="V129" s="21" t="str">
        <f t="shared" ref="V129:V170" ca="1" si="25">CONCATENATE(S129,T129,U129)</f>
        <v>20221205</v>
      </c>
      <c r="Z129" s="29" t="s">
        <v>799</v>
      </c>
    </row>
    <row r="130" spans="1:26" ht="16.350000000000001" customHeight="1" x14ac:dyDescent="0.2">
      <c r="A130" s="25" t="s">
        <v>88</v>
      </c>
      <c r="B130" s="53" t="s">
        <v>89</v>
      </c>
      <c r="C130" s="6" t="s">
        <v>90</v>
      </c>
      <c r="D130" s="15" t="s">
        <v>158</v>
      </c>
      <c r="E130" s="6" t="s">
        <v>91</v>
      </c>
      <c r="F130" s="31" t="s">
        <v>664</v>
      </c>
      <c r="G130" s="17" t="s">
        <v>665</v>
      </c>
      <c r="H130" s="6" t="s">
        <v>14</v>
      </c>
      <c r="I130" s="6" t="s">
        <v>19</v>
      </c>
      <c r="J130" s="55" t="s">
        <v>4</v>
      </c>
      <c r="L130" s="18" t="s">
        <v>2</v>
      </c>
      <c r="M130" s="19">
        <f t="shared" si="20"/>
        <v>2024</v>
      </c>
      <c r="N130" s="19" t="str">
        <f t="shared" si="21"/>
        <v>04</v>
      </c>
      <c r="O130" s="19" t="str">
        <f t="shared" si="22"/>
        <v>07</v>
      </c>
      <c r="P130" s="18" t="str">
        <f t="shared" si="23"/>
        <v>20240407</v>
      </c>
      <c r="Q130" s="20"/>
      <c r="R130" s="18" t="s">
        <v>27</v>
      </c>
      <c r="S130" s="18">
        <f t="shared" ca="1" si="24"/>
        <v>2022</v>
      </c>
      <c r="T130" s="21">
        <f t="shared" ca="1" si="18"/>
        <v>12</v>
      </c>
      <c r="U130" s="21" t="str">
        <f t="shared" ca="1" si="19"/>
        <v>05</v>
      </c>
      <c r="V130" s="21" t="str">
        <f t="shared" ca="1" si="25"/>
        <v>20221205</v>
      </c>
      <c r="Z130" s="6" t="s">
        <v>799</v>
      </c>
    </row>
    <row r="131" spans="1:26" ht="16.350000000000001" customHeight="1" x14ac:dyDescent="0.2">
      <c r="A131" s="25" t="s">
        <v>545</v>
      </c>
      <c r="B131" s="53" t="s">
        <v>4</v>
      </c>
      <c r="C131" s="6" t="s">
        <v>546</v>
      </c>
      <c r="D131" s="15" t="s">
        <v>536</v>
      </c>
      <c r="E131" s="6" t="s">
        <v>430</v>
      </c>
      <c r="F131" s="31" t="s">
        <v>664</v>
      </c>
      <c r="G131" s="17" t="s">
        <v>665</v>
      </c>
      <c r="H131" s="6" t="s">
        <v>14</v>
      </c>
      <c r="I131" s="6" t="s">
        <v>544</v>
      </c>
      <c r="J131" s="55" t="s">
        <v>4</v>
      </c>
      <c r="L131" s="18" t="s">
        <v>2</v>
      </c>
      <c r="M131" s="19">
        <f t="shared" si="20"/>
        <v>2024</v>
      </c>
      <c r="N131" s="19" t="str">
        <f t="shared" si="21"/>
        <v>04</v>
      </c>
      <c r="O131" s="19" t="str">
        <f t="shared" si="22"/>
        <v>07</v>
      </c>
      <c r="P131" s="18" t="str">
        <f t="shared" si="23"/>
        <v>20240407</v>
      </c>
      <c r="Q131" s="20"/>
      <c r="R131" s="18" t="s">
        <v>27</v>
      </c>
      <c r="S131" s="18">
        <f t="shared" ca="1" si="24"/>
        <v>2022</v>
      </c>
      <c r="T131" s="21">
        <f t="shared" ca="1" si="18"/>
        <v>12</v>
      </c>
      <c r="U131" s="21" t="str">
        <f t="shared" ca="1" si="19"/>
        <v>05</v>
      </c>
      <c r="V131" s="21" t="str">
        <f t="shared" ca="1" si="25"/>
        <v>20221205</v>
      </c>
      <c r="Z131" s="29" t="s">
        <v>799</v>
      </c>
    </row>
    <row r="132" spans="1:26" ht="16.350000000000001" customHeight="1" x14ac:dyDescent="0.2">
      <c r="A132" s="25" t="s">
        <v>519</v>
      </c>
      <c r="B132" s="53" t="s">
        <v>520</v>
      </c>
      <c r="C132" s="6" t="s">
        <v>521</v>
      </c>
      <c r="D132" s="15" t="s">
        <v>520</v>
      </c>
      <c r="E132" s="6" t="s">
        <v>430</v>
      </c>
      <c r="F132" s="31" t="s">
        <v>670</v>
      </c>
      <c r="G132" s="17" t="s">
        <v>671</v>
      </c>
      <c r="H132" s="6" t="s">
        <v>14</v>
      </c>
      <c r="I132" s="6" t="s">
        <v>12</v>
      </c>
      <c r="J132" s="55" t="s">
        <v>4</v>
      </c>
      <c r="L132" s="18" t="s">
        <v>2</v>
      </c>
      <c r="M132" s="19">
        <f t="shared" si="20"/>
        <v>2024</v>
      </c>
      <c r="N132" s="19" t="str">
        <f t="shared" si="21"/>
        <v>06</v>
      </c>
      <c r="O132" s="19">
        <f t="shared" si="22"/>
        <v>14</v>
      </c>
      <c r="P132" s="18" t="str">
        <f t="shared" si="23"/>
        <v>20240614</v>
      </c>
      <c r="Q132" s="20"/>
      <c r="R132" s="18" t="s">
        <v>27</v>
      </c>
      <c r="S132" s="18">
        <f t="shared" ca="1" si="24"/>
        <v>2022</v>
      </c>
      <c r="T132" s="21">
        <f t="shared" ca="1" si="18"/>
        <v>12</v>
      </c>
      <c r="U132" s="21" t="str">
        <f t="shared" ca="1" si="19"/>
        <v>05</v>
      </c>
      <c r="V132" s="21" t="str">
        <f t="shared" ca="1" si="25"/>
        <v>20221205</v>
      </c>
      <c r="Z132" s="6" t="s">
        <v>799</v>
      </c>
    </row>
    <row r="133" spans="1:26" ht="16.350000000000001" customHeight="1" x14ac:dyDescent="0.2">
      <c r="A133" s="25" t="s">
        <v>366</v>
      </c>
      <c r="B133" s="61">
        <v>1025134</v>
      </c>
      <c r="C133" s="6" t="s">
        <v>367</v>
      </c>
      <c r="D133" s="15" t="s">
        <v>161</v>
      </c>
      <c r="E133" s="6" t="s">
        <v>22</v>
      </c>
      <c r="F133" s="27" t="s">
        <v>526</v>
      </c>
      <c r="G133" s="17" t="s">
        <v>671</v>
      </c>
      <c r="H133" s="6" t="s">
        <v>14</v>
      </c>
      <c r="I133" s="6" t="s">
        <v>395</v>
      </c>
      <c r="J133" s="55" t="s">
        <v>418</v>
      </c>
      <c r="L133" s="18" t="s">
        <v>2</v>
      </c>
      <c r="M133" s="19">
        <f t="shared" si="20"/>
        <v>2024</v>
      </c>
      <c r="N133" s="19" t="str">
        <f t="shared" si="21"/>
        <v>06</v>
      </c>
      <c r="O133" s="19">
        <f t="shared" si="22"/>
        <v>14</v>
      </c>
      <c r="P133" s="18" t="str">
        <f t="shared" si="23"/>
        <v>20240614</v>
      </c>
      <c r="Q133" s="20"/>
      <c r="R133" s="18" t="s">
        <v>27</v>
      </c>
      <c r="S133" s="18">
        <f t="shared" ca="1" si="24"/>
        <v>2022</v>
      </c>
      <c r="T133" s="21">
        <f t="shared" ca="1" si="18"/>
        <v>12</v>
      </c>
      <c r="U133" s="21" t="str">
        <f t="shared" ca="1" si="19"/>
        <v>05</v>
      </c>
      <c r="V133" s="21" t="str">
        <f t="shared" ca="1" si="25"/>
        <v>20221205</v>
      </c>
      <c r="Z133" s="29" t="s">
        <v>799</v>
      </c>
    </row>
    <row r="134" spans="1:26" ht="16.350000000000001" customHeight="1" x14ac:dyDescent="0.2">
      <c r="A134" s="25" t="s">
        <v>82</v>
      </c>
      <c r="B134" s="53" t="s">
        <v>83</v>
      </c>
      <c r="C134" s="6" t="s">
        <v>84</v>
      </c>
      <c r="D134" s="15" t="s">
        <v>482</v>
      </c>
      <c r="E134" s="6" t="s">
        <v>22</v>
      </c>
      <c r="F134" s="31" t="s">
        <v>674</v>
      </c>
      <c r="G134" s="17" t="s">
        <v>673</v>
      </c>
      <c r="H134" s="6" t="s">
        <v>14</v>
      </c>
      <c r="I134" s="6" t="s">
        <v>19</v>
      </c>
      <c r="J134" s="55" t="s">
        <v>680</v>
      </c>
      <c r="L134" s="18" t="s">
        <v>2</v>
      </c>
      <c r="M134" s="19">
        <f t="shared" si="20"/>
        <v>2024</v>
      </c>
      <c r="N134" s="19" t="str">
        <f t="shared" si="21"/>
        <v>06</v>
      </c>
      <c r="O134" s="19">
        <f t="shared" si="22"/>
        <v>16</v>
      </c>
      <c r="P134" s="18" t="str">
        <f t="shared" si="23"/>
        <v>20240616</v>
      </c>
      <c r="Q134" s="20"/>
      <c r="R134" s="18" t="s">
        <v>27</v>
      </c>
      <c r="S134" s="18">
        <f t="shared" ca="1" si="24"/>
        <v>2022</v>
      </c>
      <c r="T134" s="21">
        <f t="shared" ca="1" si="18"/>
        <v>12</v>
      </c>
      <c r="U134" s="21" t="str">
        <f t="shared" ca="1" si="19"/>
        <v>05</v>
      </c>
      <c r="V134" s="21" t="str">
        <f t="shared" ca="1" si="25"/>
        <v>20221205</v>
      </c>
      <c r="Z134" s="6" t="s">
        <v>799</v>
      </c>
    </row>
    <row r="135" spans="1:26" ht="16.350000000000001" customHeight="1" x14ac:dyDescent="0.2">
      <c r="A135" s="25" t="s">
        <v>530</v>
      </c>
      <c r="B135" s="53" t="s">
        <v>4</v>
      </c>
      <c r="C135" s="6" t="s">
        <v>531</v>
      </c>
      <c r="D135" s="15" t="s">
        <v>560</v>
      </c>
      <c r="E135" s="6" t="s">
        <v>430</v>
      </c>
      <c r="F135" s="31" t="s">
        <v>674</v>
      </c>
      <c r="G135" s="17" t="s">
        <v>673</v>
      </c>
      <c r="H135" s="6" t="s">
        <v>14</v>
      </c>
      <c r="I135" s="6" t="s">
        <v>13</v>
      </c>
      <c r="J135" s="55" t="s">
        <v>675</v>
      </c>
      <c r="L135" s="18" t="s">
        <v>2</v>
      </c>
      <c r="M135" s="19">
        <f t="shared" si="20"/>
        <v>2024</v>
      </c>
      <c r="N135" s="19" t="str">
        <f t="shared" si="21"/>
        <v>06</v>
      </c>
      <c r="O135" s="19">
        <f t="shared" si="22"/>
        <v>16</v>
      </c>
      <c r="P135" s="18" t="str">
        <f t="shared" si="23"/>
        <v>20240616</v>
      </c>
      <c r="Q135" s="20"/>
      <c r="R135" s="18" t="s">
        <v>27</v>
      </c>
      <c r="S135" s="18">
        <f t="shared" ca="1" si="24"/>
        <v>2022</v>
      </c>
      <c r="T135" s="21">
        <f t="shared" ca="1" si="18"/>
        <v>12</v>
      </c>
      <c r="U135" s="21" t="str">
        <f t="shared" ca="1" si="19"/>
        <v>05</v>
      </c>
      <c r="V135" s="21" t="str">
        <f t="shared" ca="1" si="25"/>
        <v>20221205</v>
      </c>
      <c r="Z135" s="29" t="s">
        <v>799</v>
      </c>
    </row>
    <row r="136" spans="1:26" ht="16.350000000000001" customHeight="1" x14ac:dyDescent="0.2">
      <c r="A136" s="25" t="s">
        <v>195</v>
      </c>
      <c r="B136" s="61">
        <v>58900216</v>
      </c>
      <c r="C136" s="6" t="s">
        <v>196</v>
      </c>
      <c r="D136" s="15" t="s">
        <v>161</v>
      </c>
      <c r="E136" s="6" t="s">
        <v>10</v>
      </c>
      <c r="F136" s="31" t="s">
        <v>672</v>
      </c>
      <c r="G136" s="17" t="s">
        <v>673</v>
      </c>
      <c r="H136" s="6" t="s">
        <v>14</v>
      </c>
      <c r="I136" s="6" t="s">
        <v>19</v>
      </c>
      <c r="J136" s="55" t="s">
        <v>197</v>
      </c>
      <c r="L136" s="18" t="s">
        <v>2</v>
      </c>
      <c r="M136" s="19">
        <f t="shared" si="20"/>
        <v>2024</v>
      </c>
      <c r="N136" s="19" t="str">
        <f t="shared" si="21"/>
        <v>06</v>
      </c>
      <c r="O136" s="19">
        <f t="shared" si="22"/>
        <v>16</v>
      </c>
      <c r="P136" s="18" t="str">
        <f t="shared" si="23"/>
        <v>20240616</v>
      </c>
      <c r="Q136" s="20"/>
      <c r="R136" s="18" t="s">
        <v>27</v>
      </c>
      <c r="S136" s="18">
        <f t="shared" ca="1" si="24"/>
        <v>2022</v>
      </c>
      <c r="T136" s="21">
        <f t="shared" ca="1" si="18"/>
        <v>12</v>
      </c>
      <c r="U136" s="21" t="str">
        <f t="shared" ca="1" si="19"/>
        <v>05</v>
      </c>
      <c r="V136" s="21" t="str">
        <f t="shared" ca="1" si="25"/>
        <v>20221205</v>
      </c>
      <c r="Z136" s="6" t="s">
        <v>799</v>
      </c>
    </row>
    <row r="137" spans="1:26" ht="16.350000000000001" customHeight="1" x14ac:dyDescent="0.2">
      <c r="A137" s="25" t="s">
        <v>589</v>
      </c>
      <c r="B137" s="61">
        <v>58900563</v>
      </c>
      <c r="C137" s="6" t="s">
        <v>590</v>
      </c>
      <c r="D137" s="15" t="s">
        <v>161</v>
      </c>
      <c r="E137" s="6" t="s">
        <v>10</v>
      </c>
      <c r="F137" s="31" t="s">
        <v>688</v>
      </c>
      <c r="G137" s="17" t="s">
        <v>689</v>
      </c>
      <c r="H137" s="6" t="s">
        <v>14</v>
      </c>
      <c r="I137" s="6" t="s">
        <v>19</v>
      </c>
      <c r="J137" s="55" t="s">
        <v>4</v>
      </c>
      <c r="L137" s="18" t="s">
        <v>2</v>
      </c>
      <c r="M137" s="19">
        <f t="shared" si="20"/>
        <v>2024</v>
      </c>
      <c r="N137" s="19" t="str">
        <f t="shared" si="21"/>
        <v>06</v>
      </c>
      <c r="O137" s="19">
        <f t="shared" si="22"/>
        <v>23</v>
      </c>
      <c r="P137" s="18" t="str">
        <f t="shared" si="23"/>
        <v>20240623</v>
      </c>
      <c r="Q137" s="20"/>
      <c r="R137" s="18" t="s">
        <v>27</v>
      </c>
      <c r="S137" s="18">
        <f t="shared" ca="1" si="24"/>
        <v>2022</v>
      </c>
      <c r="T137" s="21">
        <f t="shared" ca="1" si="18"/>
        <v>12</v>
      </c>
      <c r="U137" s="21" t="str">
        <f t="shared" ca="1" si="19"/>
        <v>05</v>
      </c>
      <c r="V137" s="21" t="str">
        <f t="shared" ca="1" si="25"/>
        <v>20221205</v>
      </c>
      <c r="Z137" s="29" t="s">
        <v>799</v>
      </c>
    </row>
    <row r="138" spans="1:26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674</v>
      </c>
      <c r="G138" s="17" t="s">
        <v>673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20"/>
        <v>2024</v>
      </c>
      <c r="N138" s="19" t="str">
        <f t="shared" si="21"/>
        <v>06</v>
      </c>
      <c r="O138" s="19">
        <f t="shared" si="22"/>
        <v>16</v>
      </c>
      <c r="P138" s="18" t="str">
        <f t="shared" si="23"/>
        <v>20240616</v>
      </c>
      <c r="Q138" s="20"/>
      <c r="R138" s="18" t="s">
        <v>27</v>
      </c>
      <c r="S138" s="18">
        <f t="shared" ca="1" si="24"/>
        <v>2022</v>
      </c>
      <c r="T138" s="21">
        <f t="shared" ca="1" si="18"/>
        <v>12</v>
      </c>
      <c r="U138" s="21" t="str">
        <f t="shared" ca="1" si="19"/>
        <v>05</v>
      </c>
      <c r="V138" s="21" t="str">
        <f t="shared" ca="1" si="25"/>
        <v>20221205</v>
      </c>
      <c r="Z138" s="6" t="s">
        <v>627</v>
      </c>
    </row>
    <row r="139" spans="1:26" ht="16.350000000000001" customHeight="1" x14ac:dyDescent="0.2">
      <c r="A139" s="25" t="s">
        <v>690</v>
      </c>
      <c r="B139" s="53" t="s">
        <v>37</v>
      </c>
      <c r="C139" s="6" t="s">
        <v>693</v>
      </c>
      <c r="D139" s="15" t="s">
        <v>158</v>
      </c>
      <c r="E139" s="6" t="s">
        <v>22</v>
      </c>
      <c r="F139" s="31">
        <v>44739</v>
      </c>
      <c r="G139" s="17" t="s">
        <v>691</v>
      </c>
      <c r="H139" s="6" t="s">
        <v>14</v>
      </c>
      <c r="I139" s="6" t="s">
        <v>29</v>
      </c>
      <c r="J139" s="55" t="s">
        <v>692</v>
      </c>
      <c r="L139" s="18" t="s">
        <v>2</v>
      </c>
      <c r="M139" s="19">
        <f t="shared" si="20"/>
        <v>2024</v>
      </c>
      <c r="N139" s="19" t="str">
        <f t="shared" si="21"/>
        <v>06</v>
      </c>
      <c r="O139" s="19">
        <f t="shared" si="22"/>
        <v>27</v>
      </c>
      <c r="P139" s="18" t="str">
        <f t="shared" si="23"/>
        <v>20240627</v>
      </c>
      <c r="Q139" s="20"/>
      <c r="R139" s="18" t="s">
        <v>27</v>
      </c>
      <c r="S139" s="18">
        <f t="shared" ca="1" si="24"/>
        <v>2022</v>
      </c>
      <c r="T139" s="21">
        <f t="shared" ca="1" si="18"/>
        <v>12</v>
      </c>
      <c r="U139" s="21" t="str">
        <f t="shared" ca="1" si="19"/>
        <v>05</v>
      </c>
      <c r="V139" s="21" t="str">
        <f t="shared" ca="1" si="25"/>
        <v>20221205</v>
      </c>
      <c r="Z139" s="29" t="s">
        <v>799</v>
      </c>
    </row>
    <row r="140" spans="1:26" ht="16.350000000000001" customHeight="1" x14ac:dyDescent="0.2">
      <c r="A140" s="25" t="s">
        <v>368</v>
      </c>
      <c r="B140" s="53" t="s">
        <v>369</v>
      </c>
      <c r="C140" s="6" t="s">
        <v>370</v>
      </c>
      <c r="D140" s="15" t="s">
        <v>161</v>
      </c>
      <c r="E140" s="6" t="s">
        <v>22</v>
      </c>
      <c r="F140" s="27" t="s">
        <v>694</v>
      </c>
      <c r="G140" s="17" t="s">
        <v>695</v>
      </c>
      <c r="H140" s="6" t="s">
        <v>14</v>
      </c>
      <c r="I140" s="6" t="s">
        <v>19</v>
      </c>
      <c r="J140" s="55" t="s">
        <v>4</v>
      </c>
      <c r="L140" s="18" t="s">
        <v>2</v>
      </c>
      <c r="M140" s="19">
        <f t="shared" si="20"/>
        <v>2024</v>
      </c>
      <c r="N140" s="19" t="str">
        <f t="shared" si="21"/>
        <v>07</v>
      </c>
      <c r="O140" s="19" t="str">
        <f t="shared" si="22"/>
        <v>01</v>
      </c>
      <c r="P140" s="18" t="str">
        <f t="shared" si="23"/>
        <v>20240701</v>
      </c>
      <c r="Q140" s="20"/>
      <c r="R140" s="18" t="s">
        <v>27</v>
      </c>
      <c r="S140" s="18">
        <f t="shared" ca="1" si="24"/>
        <v>2022</v>
      </c>
      <c r="T140" s="21">
        <f t="shared" ca="1" si="18"/>
        <v>12</v>
      </c>
      <c r="U140" s="21" t="str">
        <f t="shared" ca="1" si="19"/>
        <v>05</v>
      </c>
      <c r="V140" s="21" t="str">
        <f t="shared" ca="1" si="25"/>
        <v>20221205</v>
      </c>
      <c r="Z140" s="6" t="s">
        <v>799</v>
      </c>
    </row>
    <row r="141" spans="1:26" ht="16.350000000000001" customHeight="1" x14ac:dyDescent="0.2">
      <c r="A141" s="25" t="s">
        <v>274</v>
      </c>
      <c r="B141" s="61">
        <v>5455395</v>
      </c>
      <c r="C141" s="6" t="s">
        <v>275</v>
      </c>
      <c r="D141" s="15" t="s">
        <v>161</v>
      </c>
      <c r="E141" s="6" t="s">
        <v>22</v>
      </c>
      <c r="F141" s="27" t="s">
        <v>697</v>
      </c>
      <c r="G141" s="17" t="s">
        <v>698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20"/>
        <v>2024</v>
      </c>
      <c r="N141" s="19" t="str">
        <f t="shared" si="21"/>
        <v>07</v>
      </c>
      <c r="O141" s="19">
        <f t="shared" si="22"/>
        <v>13</v>
      </c>
      <c r="P141" s="18" t="str">
        <f t="shared" si="23"/>
        <v>20240713</v>
      </c>
      <c r="Q141" s="20"/>
      <c r="R141" s="18" t="s">
        <v>27</v>
      </c>
      <c r="S141" s="18">
        <f t="shared" ca="1" si="24"/>
        <v>2022</v>
      </c>
      <c r="T141" s="21">
        <f t="shared" ca="1" si="18"/>
        <v>12</v>
      </c>
      <c r="U141" s="21" t="str">
        <f t="shared" ca="1" si="19"/>
        <v>05</v>
      </c>
      <c r="V141" s="21" t="str">
        <f t="shared" ca="1" si="25"/>
        <v>20221205</v>
      </c>
      <c r="Z141" s="29" t="s">
        <v>799</v>
      </c>
    </row>
    <row r="142" spans="1:26" ht="16.350000000000001" customHeight="1" x14ac:dyDescent="0.2">
      <c r="A142" s="25" t="s">
        <v>276</v>
      </c>
      <c r="B142" s="61">
        <v>5455395</v>
      </c>
      <c r="C142" s="6" t="s">
        <v>277</v>
      </c>
      <c r="D142" s="15" t="s">
        <v>161</v>
      </c>
      <c r="E142" s="6" t="s">
        <v>22</v>
      </c>
      <c r="F142" s="27" t="s">
        <v>697</v>
      </c>
      <c r="G142" s="17" t="s">
        <v>698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20"/>
        <v>2024</v>
      </c>
      <c r="N142" s="19" t="str">
        <f t="shared" si="21"/>
        <v>07</v>
      </c>
      <c r="O142" s="19">
        <f t="shared" si="22"/>
        <v>13</v>
      </c>
      <c r="P142" s="18" t="str">
        <f t="shared" si="23"/>
        <v>20240713</v>
      </c>
      <c r="Q142" s="20"/>
      <c r="R142" s="18" t="s">
        <v>27</v>
      </c>
      <c r="S142" s="18">
        <f t="shared" ca="1" si="24"/>
        <v>2022</v>
      </c>
      <c r="T142" s="21">
        <f t="shared" ca="1" si="18"/>
        <v>12</v>
      </c>
      <c r="U142" s="21" t="str">
        <f t="shared" ca="1" si="19"/>
        <v>05</v>
      </c>
      <c r="V142" s="21" t="str">
        <f t="shared" ca="1" si="25"/>
        <v>20221205</v>
      </c>
      <c r="Z142" s="6" t="s">
        <v>799</v>
      </c>
    </row>
    <row r="143" spans="1:26" ht="16.350000000000001" customHeight="1" x14ac:dyDescent="0.2">
      <c r="A143" s="25" t="s">
        <v>278</v>
      </c>
      <c r="B143" s="61">
        <v>5455395</v>
      </c>
      <c r="C143" s="6" t="s">
        <v>279</v>
      </c>
      <c r="D143" s="15" t="s">
        <v>161</v>
      </c>
      <c r="E143" s="6" t="s">
        <v>22</v>
      </c>
      <c r="F143" s="27" t="s">
        <v>699</v>
      </c>
      <c r="G143" s="17" t="s">
        <v>698</v>
      </c>
      <c r="H143" s="6" t="s">
        <v>14</v>
      </c>
      <c r="I143" s="6" t="s">
        <v>13</v>
      </c>
      <c r="J143" s="55" t="s">
        <v>4</v>
      </c>
      <c r="L143" s="18" t="s">
        <v>2</v>
      </c>
      <c r="M143" s="19">
        <f t="shared" si="20"/>
        <v>2024</v>
      </c>
      <c r="N143" s="19" t="str">
        <f t="shared" si="21"/>
        <v>07</v>
      </c>
      <c r="O143" s="19">
        <f t="shared" si="22"/>
        <v>13</v>
      </c>
      <c r="P143" s="18" t="str">
        <f t="shared" si="23"/>
        <v>20240713</v>
      </c>
      <c r="Q143" s="20"/>
      <c r="R143" s="18" t="s">
        <v>27</v>
      </c>
      <c r="S143" s="18">
        <f t="shared" ca="1" si="24"/>
        <v>2022</v>
      </c>
      <c r="T143" s="21">
        <f t="shared" ca="1" si="18"/>
        <v>12</v>
      </c>
      <c r="U143" s="21" t="str">
        <f t="shared" ca="1" si="19"/>
        <v>05</v>
      </c>
      <c r="V143" s="21" t="str">
        <f t="shared" ca="1" si="25"/>
        <v>20221205</v>
      </c>
      <c r="Z143" s="29" t="s">
        <v>799</v>
      </c>
    </row>
    <row r="144" spans="1:26" ht="16.350000000000001" customHeight="1" x14ac:dyDescent="0.2">
      <c r="A144" s="25" t="s">
        <v>280</v>
      </c>
      <c r="B144" s="61">
        <v>5455396</v>
      </c>
      <c r="C144" s="6" t="s">
        <v>281</v>
      </c>
      <c r="D144" s="15" t="s">
        <v>161</v>
      </c>
      <c r="E144" s="6" t="s">
        <v>22</v>
      </c>
      <c r="F144" s="27" t="s">
        <v>697</v>
      </c>
      <c r="G144" s="17" t="s">
        <v>698</v>
      </c>
      <c r="H144" s="6" t="s">
        <v>14</v>
      </c>
      <c r="I144" s="6" t="s">
        <v>13</v>
      </c>
      <c r="J144" s="55" t="s">
        <v>4</v>
      </c>
      <c r="L144" s="18" t="s">
        <v>2</v>
      </c>
      <c r="M144" s="19">
        <f t="shared" si="20"/>
        <v>2024</v>
      </c>
      <c r="N144" s="19" t="str">
        <f t="shared" si="21"/>
        <v>07</v>
      </c>
      <c r="O144" s="19">
        <f t="shared" si="22"/>
        <v>13</v>
      </c>
      <c r="P144" s="18" t="str">
        <f t="shared" si="23"/>
        <v>20240713</v>
      </c>
      <c r="Q144" s="20"/>
      <c r="R144" s="18" t="s">
        <v>27</v>
      </c>
      <c r="S144" s="18">
        <f t="shared" ca="1" si="24"/>
        <v>2022</v>
      </c>
      <c r="T144" s="21">
        <f t="shared" ca="1" si="18"/>
        <v>12</v>
      </c>
      <c r="U144" s="21" t="str">
        <f t="shared" ca="1" si="19"/>
        <v>05</v>
      </c>
      <c r="V144" s="21" t="str">
        <f t="shared" ca="1" si="25"/>
        <v>20221205</v>
      </c>
      <c r="Z144" s="6" t="s">
        <v>799</v>
      </c>
    </row>
    <row r="145" spans="1:26" ht="16.350000000000001" customHeight="1" x14ac:dyDescent="0.2">
      <c r="A145" s="25" t="s">
        <v>282</v>
      </c>
      <c r="B145" s="61">
        <v>5455396</v>
      </c>
      <c r="C145" s="6" t="s">
        <v>283</v>
      </c>
      <c r="D145" s="15" t="s">
        <v>161</v>
      </c>
      <c r="E145" s="6" t="s">
        <v>22</v>
      </c>
      <c r="F145" s="27" t="s">
        <v>697</v>
      </c>
      <c r="G145" s="17" t="s">
        <v>698</v>
      </c>
      <c r="H145" s="6" t="s">
        <v>14</v>
      </c>
      <c r="I145" s="6" t="s">
        <v>13</v>
      </c>
      <c r="J145" s="55" t="s">
        <v>4</v>
      </c>
      <c r="L145" s="18" t="s">
        <v>2</v>
      </c>
      <c r="M145" s="19">
        <f t="shared" si="20"/>
        <v>2024</v>
      </c>
      <c r="N145" s="19" t="str">
        <f t="shared" si="21"/>
        <v>07</v>
      </c>
      <c r="O145" s="19">
        <f t="shared" si="22"/>
        <v>13</v>
      </c>
      <c r="P145" s="18" t="str">
        <f t="shared" si="23"/>
        <v>20240713</v>
      </c>
      <c r="Q145" s="20"/>
      <c r="R145" s="18" t="s">
        <v>27</v>
      </c>
      <c r="S145" s="18">
        <f t="shared" ca="1" si="24"/>
        <v>2022</v>
      </c>
      <c r="T145" s="21">
        <f t="shared" ca="1" si="18"/>
        <v>12</v>
      </c>
      <c r="U145" s="21" t="str">
        <f t="shared" ca="1" si="19"/>
        <v>05</v>
      </c>
      <c r="V145" s="21" t="str">
        <f t="shared" ca="1" si="25"/>
        <v>20221205</v>
      </c>
      <c r="Z145" s="29" t="s">
        <v>799</v>
      </c>
    </row>
    <row r="146" spans="1:26" ht="16.350000000000001" customHeight="1" x14ac:dyDescent="0.2">
      <c r="A146" s="25" t="s">
        <v>284</v>
      </c>
      <c r="B146" s="61">
        <v>5455396</v>
      </c>
      <c r="C146" s="6" t="s">
        <v>285</v>
      </c>
      <c r="D146" s="15" t="s">
        <v>161</v>
      </c>
      <c r="E146" s="6" t="s">
        <v>22</v>
      </c>
      <c r="F146" s="27" t="s">
        <v>699</v>
      </c>
      <c r="G146" s="17" t="s">
        <v>698</v>
      </c>
      <c r="H146" s="6" t="s">
        <v>14</v>
      </c>
      <c r="I146" s="6" t="s">
        <v>13</v>
      </c>
      <c r="J146" s="55" t="s">
        <v>4</v>
      </c>
      <c r="L146" s="18" t="s">
        <v>2</v>
      </c>
      <c r="M146" s="19">
        <f t="shared" si="20"/>
        <v>2024</v>
      </c>
      <c r="N146" s="19" t="str">
        <f t="shared" si="21"/>
        <v>07</v>
      </c>
      <c r="O146" s="19">
        <f t="shared" si="22"/>
        <v>13</v>
      </c>
      <c r="P146" s="18" t="str">
        <f t="shared" si="23"/>
        <v>20240713</v>
      </c>
      <c r="Q146" s="20"/>
      <c r="R146" s="18" t="s">
        <v>27</v>
      </c>
      <c r="S146" s="18">
        <f t="shared" ca="1" si="24"/>
        <v>2022</v>
      </c>
      <c r="T146" s="21">
        <f t="shared" ca="1" si="18"/>
        <v>12</v>
      </c>
      <c r="U146" s="21" t="str">
        <f t="shared" ca="1" si="19"/>
        <v>05</v>
      </c>
      <c r="V146" s="21" t="str">
        <f t="shared" ca="1" si="25"/>
        <v>20221205</v>
      </c>
      <c r="Z146" s="6" t="s">
        <v>799</v>
      </c>
    </row>
    <row r="147" spans="1:26" ht="16.350000000000001" customHeight="1" x14ac:dyDescent="0.2">
      <c r="A147" s="25" t="s">
        <v>373</v>
      </c>
      <c r="B147" s="53" t="s">
        <v>369</v>
      </c>
      <c r="C147" s="6" t="s">
        <v>370</v>
      </c>
      <c r="D147" s="15" t="s">
        <v>161</v>
      </c>
      <c r="E147" s="6" t="s">
        <v>22</v>
      </c>
      <c r="F147" s="27" t="s">
        <v>697</v>
      </c>
      <c r="G147" s="17" t="s">
        <v>698</v>
      </c>
      <c r="H147" s="6" t="s">
        <v>14</v>
      </c>
      <c r="I147" s="6" t="s">
        <v>13</v>
      </c>
      <c r="J147" s="55" t="s">
        <v>4</v>
      </c>
      <c r="L147" s="18" t="s">
        <v>2</v>
      </c>
      <c r="M147" s="19">
        <f t="shared" si="20"/>
        <v>2024</v>
      </c>
      <c r="N147" s="19" t="str">
        <f t="shared" si="21"/>
        <v>07</v>
      </c>
      <c r="O147" s="19">
        <f t="shared" si="22"/>
        <v>13</v>
      </c>
      <c r="P147" s="18" t="str">
        <f t="shared" si="23"/>
        <v>20240713</v>
      </c>
      <c r="Q147" s="20"/>
      <c r="R147" s="18" t="s">
        <v>27</v>
      </c>
      <c r="S147" s="18">
        <f t="shared" ca="1" si="24"/>
        <v>2022</v>
      </c>
      <c r="T147" s="21">
        <f t="shared" ca="1" si="18"/>
        <v>12</v>
      </c>
      <c r="U147" s="21" t="str">
        <f t="shared" ca="1" si="19"/>
        <v>05</v>
      </c>
      <c r="V147" s="21" t="str">
        <f t="shared" ca="1" si="25"/>
        <v>20221205</v>
      </c>
      <c r="Z147" s="29" t="s">
        <v>799</v>
      </c>
    </row>
    <row r="148" spans="1:26" ht="16.350000000000001" customHeight="1" x14ac:dyDescent="0.2">
      <c r="A148" s="25" t="s">
        <v>474</v>
      </c>
      <c r="B148" s="61">
        <v>302117510</v>
      </c>
      <c r="C148" s="6" t="s">
        <v>465</v>
      </c>
      <c r="D148" s="15" t="s">
        <v>468</v>
      </c>
      <c r="E148" s="6" t="s">
        <v>430</v>
      </c>
      <c r="F148" s="31" t="s">
        <v>700</v>
      </c>
      <c r="G148" s="17" t="s">
        <v>701</v>
      </c>
      <c r="H148" s="6" t="s">
        <v>14</v>
      </c>
      <c r="I148" s="6" t="s">
        <v>23</v>
      </c>
      <c r="J148" s="55" t="s">
        <v>470</v>
      </c>
      <c r="L148" s="18" t="s">
        <v>2</v>
      </c>
      <c r="M148" s="19">
        <f t="shared" si="20"/>
        <v>2024</v>
      </c>
      <c r="N148" s="19" t="str">
        <f t="shared" si="21"/>
        <v>07</v>
      </c>
      <c r="O148" s="19">
        <f t="shared" si="22"/>
        <v>14</v>
      </c>
      <c r="P148" s="18" t="str">
        <f t="shared" si="23"/>
        <v>20240714</v>
      </c>
      <c r="Q148" s="20"/>
      <c r="R148" s="18" t="s">
        <v>27</v>
      </c>
      <c r="S148" s="18">
        <f t="shared" ca="1" si="24"/>
        <v>2022</v>
      </c>
      <c r="T148" s="21">
        <f t="shared" ca="1" si="18"/>
        <v>12</v>
      </c>
      <c r="U148" s="21" t="str">
        <f t="shared" ca="1" si="19"/>
        <v>05</v>
      </c>
      <c r="V148" s="21" t="str">
        <f t="shared" ca="1" si="25"/>
        <v>20221205</v>
      </c>
      <c r="Z148" s="6" t="s">
        <v>799</v>
      </c>
    </row>
    <row r="149" spans="1:26" ht="16.350000000000001" customHeight="1" x14ac:dyDescent="0.2">
      <c r="A149" s="25" t="s">
        <v>286</v>
      </c>
      <c r="B149" s="53" t="s">
        <v>404</v>
      </c>
      <c r="C149" s="6" t="s">
        <v>287</v>
      </c>
      <c r="D149" s="15" t="s">
        <v>161</v>
      </c>
      <c r="E149" s="6" t="s">
        <v>22</v>
      </c>
      <c r="F149" s="27" t="s">
        <v>702</v>
      </c>
      <c r="G149" s="17" t="s">
        <v>701</v>
      </c>
      <c r="H149" s="6" t="s">
        <v>14</v>
      </c>
      <c r="I149" s="6" t="s">
        <v>23</v>
      </c>
      <c r="J149" s="55" t="s">
        <v>4</v>
      </c>
      <c r="L149" s="18" t="s">
        <v>2</v>
      </c>
      <c r="M149" s="19">
        <f t="shared" si="20"/>
        <v>2024</v>
      </c>
      <c r="N149" s="19" t="str">
        <f t="shared" si="21"/>
        <v>07</v>
      </c>
      <c r="O149" s="19">
        <f t="shared" si="22"/>
        <v>14</v>
      </c>
      <c r="P149" s="18" t="str">
        <f t="shared" si="23"/>
        <v>20240714</v>
      </c>
      <c r="Q149" s="20"/>
      <c r="R149" s="18" t="s">
        <v>27</v>
      </c>
      <c r="S149" s="18">
        <f t="shared" ca="1" si="24"/>
        <v>2022</v>
      </c>
      <c r="T149" s="21">
        <f t="shared" ca="1" si="18"/>
        <v>12</v>
      </c>
      <c r="U149" s="21" t="str">
        <f t="shared" ca="1" si="19"/>
        <v>05</v>
      </c>
      <c r="V149" s="21" t="str">
        <f t="shared" ca="1" si="25"/>
        <v>20221205</v>
      </c>
      <c r="Z149" s="29" t="s">
        <v>799</v>
      </c>
    </row>
    <row r="150" spans="1:26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578</v>
      </c>
      <c r="G150" s="40" t="s">
        <v>578</v>
      </c>
      <c r="H150" s="51" t="s">
        <v>14</v>
      </c>
      <c r="I150" s="81" t="s">
        <v>19</v>
      </c>
      <c r="J150" s="82" t="s">
        <v>696</v>
      </c>
      <c r="L150" s="18" t="s">
        <v>2</v>
      </c>
      <c r="M150" s="19" t="e">
        <f t="shared" si="20"/>
        <v>#VALUE!</v>
      </c>
      <c r="N150" s="19" t="e">
        <f t="shared" si="21"/>
        <v>#VALUE!</v>
      </c>
      <c r="O150" s="19" t="e">
        <f t="shared" si="22"/>
        <v>#VALUE!</v>
      </c>
      <c r="P150" s="18" t="e">
        <f t="shared" si="23"/>
        <v>#VALUE!</v>
      </c>
      <c r="Q150" s="20"/>
      <c r="R150" s="18" t="s">
        <v>27</v>
      </c>
      <c r="S150" s="18">
        <f t="shared" ca="1" si="24"/>
        <v>2022</v>
      </c>
      <c r="T150" s="21">
        <f t="shared" ca="1" si="18"/>
        <v>12</v>
      </c>
      <c r="U150" s="21" t="str">
        <f t="shared" ca="1" si="19"/>
        <v>05</v>
      </c>
      <c r="V150" s="21" t="str">
        <f t="shared" ca="1" si="25"/>
        <v>20221205</v>
      </c>
      <c r="Z150" s="6" t="s">
        <v>628</v>
      </c>
    </row>
    <row r="151" spans="1:26" ht="16.350000000000001" customHeight="1" x14ac:dyDescent="0.2">
      <c r="A151" s="25" t="s">
        <v>288</v>
      </c>
      <c r="B151" s="53" t="s">
        <v>405</v>
      </c>
      <c r="C151" s="6" t="s">
        <v>289</v>
      </c>
      <c r="D151" s="15" t="s">
        <v>161</v>
      </c>
      <c r="E151" s="6" t="s">
        <v>22</v>
      </c>
      <c r="F151" s="27" t="s">
        <v>702</v>
      </c>
      <c r="G151" s="17" t="s">
        <v>701</v>
      </c>
      <c r="H151" s="6" t="s">
        <v>14</v>
      </c>
      <c r="I151" s="6" t="s">
        <v>23</v>
      </c>
      <c r="J151" s="55" t="s">
        <v>4</v>
      </c>
      <c r="L151" s="18" t="s">
        <v>2</v>
      </c>
      <c r="M151" s="19">
        <f t="shared" si="20"/>
        <v>2024</v>
      </c>
      <c r="N151" s="19" t="str">
        <f t="shared" si="21"/>
        <v>07</v>
      </c>
      <c r="O151" s="19">
        <f t="shared" si="22"/>
        <v>14</v>
      </c>
      <c r="P151" s="18" t="str">
        <f t="shared" si="23"/>
        <v>20240714</v>
      </c>
      <c r="Q151" s="20"/>
      <c r="R151" s="18" t="s">
        <v>27</v>
      </c>
      <c r="S151" s="18">
        <f t="shared" ca="1" si="24"/>
        <v>2022</v>
      </c>
      <c r="T151" s="21">
        <f t="shared" ca="1" si="18"/>
        <v>12</v>
      </c>
      <c r="U151" s="21" t="str">
        <f t="shared" ca="1" si="19"/>
        <v>05</v>
      </c>
      <c r="V151" s="21" t="str">
        <f t="shared" ca="1" si="25"/>
        <v>20221205</v>
      </c>
      <c r="Z151" s="29" t="s">
        <v>799</v>
      </c>
    </row>
    <row r="152" spans="1:26" ht="16.350000000000001" customHeight="1" x14ac:dyDescent="0.2">
      <c r="A152" s="25" t="s">
        <v>476</v>
      </c>
      <c r="B152" s="61">
        <v>302117510</v>
      </c>
      <c r="C152" s="6" t="s">
        <v>465</v>
      </c>
      <c r="D152" s="15" t="s">
        <v>468</v>
      </c>
      <c r="E152" s="6" t="s">
        <v>430</v>
      </c>
      <c r="F152" s="31" t="s">
        <v>475</v>
      </c>
      <c r="G152" s="17" t="s">
        <v>703</v>
      </c>
      <c r="H152" s="6" t="s">
        <v>14</v>
      </c>
      <c r="I152" s="6" t="s">
        <v>423</v>
      </c>
      <c r="J152" s="55" t="s">
        <v>4</v>
      </c>
      <c r="L152" s="18" t="s">
        <v>2</v>
      </c>
      <c r="M152" s="19">
        <f t="shared" si="20"/>
        <v>2024</v>
      </c>
      <c r="N152" s="19" t="str">
        <f t="shared" si="21"/>
        <v>07</v>
      </c>
      <c r="O152" s="19">
        <f t="shared" si="22"/>
        <v>18</v>
      </c>
      <c r="P152" s="18" t="str">
        <f t="shared" si="23"/>
        <v>20240718</v>
      </c>
      <c r="Q152" s="20"/>
      <c r="R152" s="18" t="s">
        <v>27</v>
      </c>
      <c r="S152" s="18">
        <f t="shared" ca="1" si="24"/>
        <v>2022</v>
      </c>
      <c r="T152" s="21">
        <f t="shared" ca="1" si="18"/>
        <v>12</v>
      </c>
      <c r="U152" s="21" t="str">
        <f t="shared" ca="1" si="19"/>
        <v>05</v>
      </c>
      <c r="V152" s="21" t="str">
        <f t="shared" ca="1" si="25"/>
        <v>20221205</v>
      </c>
      <c r="Z152" s="6" t="s">
        <v>799</v>
      </c>
    </row>
    <row r="153" spans="1:26" ht="16.350000000000001" customHeight="1" x14ac:dyDescent="0.2">
      <c r="A153" s="25" t="s">
        <v>446</v>
      </c>
      <c r="B153" s="53" t="s">
        <v>447</v>
      </c>
      <c r="C153" s="6" t="s">
        <v>448</v>
      </c>
      <c r="D153" s="15" t="s">
        <v>438</v>
      </c>
      <c r="E153" s="6" t="s">
        <v>22</v>
      </c>
      <c r="F153" s="31" t="s">
        <v>704</v>
      </c>
      <c r="G153" s="17" t="s">
        <v>705</v>
      </c>
      <c r="H153" s="6" t="s">
        <v>14</v>
      </c>
      <c r="I153" s="6" t="s">
        <v>439</v>
      </c>
      <c r="J153" s="55" t="s">
        <v>449</v>
      </c>
      <c r="L153" s="18" t="s">
        <v>2</v>
      </c>
      <c r="M153" s="19">
        <f t="shared" si="20"/>
        <v>2024</v>
      </c>
      <c r="N153" s="19" t="str">
        <f t="shared" si="21"/>
        <v>07</v>
      </c>
      <c r="O153" s="19">
        <f t="shared" si="22"/>
        <v>20</v>
      </c>
      <c r="P153" s="18" t="str">
        <f t="shared" si="23"/>
        <v>20240720</v>
      </c>
      <c r="Q153" s="20"/>
      <c r="R153" s="18" t="s">
        <v>27</v>
      </c>
      <c r="S153" s="18">
        <f t="shared" ca="1" si="24"/>
        <v>2022</v>
      </c>
      <c r="T153" s="21">
        <f t="shared" ca="1" si="18"/>
        <v>12</v>
      </c>
      <c r="U153" s="21" t="str">
        <f t="shared" ca="1" si="19"/>
        <v>05</v>
      </c>
      <c r="V153" s="21" t="str">
        <f t="shared" ca="1" si="25"/>
        <v>20221205</v>
      </c>
      <c r="Z153" s="29" t="s">
        <v>799</v>
      </c>
    </row>
    <row r="154" spans="1:26" ht="16.350000000000001" hidden="1" customHeight="1" x14ac:dyDescent="0.2">
      <c r="A154" s="25" t="s">
        <v>436</v>
      </c>
      <c r="B154" s="61" t="s">
        <v>740</v>
      </c>
      <c r="C154" s="6" t="s">
        <v>437</v>
      </c>
      <c r="D154" s="15" t="s">
        <v>438</v>
      </c>
      <c r="E154" s="6" t="s">
        <v>22</v>
      </c>
      <c r="F154" s="31" t="s">
        <v>704</v>
      </c>
      <c r="G154" s="17" t="s">
        <v>705</v>
      </c>
      <c r="H154" s="6" t="s">
        <v>14</v>
      </c>
      <c r="I154" s="6" t="s">
        <v>439</v>
      </c>
      <c r="J154" s="57" t="s">
        <v>440</v>
      </c>
      <c r="L154" s="18" t="s">
        <v>2</v>
      </c>
      <c r="M154" s="19">
        <f t="shared" si="20"/>
        <v>2024</v>
      </c>
      <c r="N154" s="19" t="str">
        <f t="shared" si="21"/>
        <v>07</v>
      </c>
      <c r="O154" s="19">
        <f t="shared" si="22"/>
        <v>20</v>
      </c>
      <c r="P154" s="18" t="str">
        <f t="shared" si="23"/>
        <v>20240720</v>
      </c>
      <c r="Q154" s="20"/>
      <c r="R154" s="18" t="s">
        <v>27</v>
      </c>
      <c r="S154" s="18">
        <f t="shared" ca="1" si="24"/>
        <v>2022</v>
      </c>
      <c r="T154" s="21">
        <f t="shared" ca="1" si="18"/>
        <v>12</v>
      </c>
      <c r="U154" s="21" t="str">
        <f t="shared" ca="1" si="19"/>
        <v>05</v>
      </c>
      <c r="V154" s="21" t="str">
        <f t="shared" ca="1" si="25"/>
        <v>20221205</v>
      </c>
      <c r="Z154" s="6" t="s">
        <v>628</v>
      </c>
    </row>
    <row r="155" spans="1:26" ht="16.350000000000001" customHeight="1" x14ac:dyDescent="0.2">
      <c r="A155" s="25" t="s">
        <v>450</v>
      </c>
      <c r="B155" s="53" t="s">
        <v>447</v>
      </c>
      <c r="C155" s="6" t="s">
        <v>448</v>
      </c>
      <c r="D155" s="15" t="s">
        <v>438</v>
      </c>
      <c r="E155" s="6" t="s">
        <v>22</v>
      </c>
      <c r="F155" s="31" t="s">
        <v>704</v>
      </c>
      <c r="G155" s="17" t="s">
        <v>705</v>
      </c>
      <c r="H155" s="6" t="s">
        <v>14</v>
      </c>
      <c r="I155" s="6" t="s">
        <v>439</v>
      </c>
      <c r="J155" s="55" t="s">
        <v>451</v>
      </c>
      <c r="L155" s="18" t="s">
        <v>2</v>
      </c>
      <c r="M155" s="19">
        <f t="shared" si="20"/>
        <v>2024</v>
      </c>
      <c r="N155" s="19" t="str">
        <f t="shared" si="21"/>
        <v>07</v>
      </c>
      <c r="O155" s="19">
        <f t="shared" si="22"/>
        <v>20</v>
      </c>
      <c r="P155" s="18" t="str">
        <f t="shared" si="23"/>
        <v>20240720</v>
      </c>
      <c r="Q155" s="20"/>
      <c r="R155" s="18" t="s">
        <v>27</v>
      </c>
      <c r="S155" s="18">
        <f t="shared" ca="1" si="24"/>
        <v>2022</v>
      </c>
      <c r="T155" s="21">
        <f t="shared" ca="1" si="18"/>
        <v>12</v>
      </c>
      <c r="U155" s="21" t="str">
        <f t="shared" ca="1" si="19"/>
        <v>05</v>
      </c>
      <c r="V155" s="21" t="str">
        <f t="shared" ca="1" si="25"/>
        <v>20221205</v>
      </c>
      <c r="Z155" s="29" t="s">
        <v>799</v>
      </c>
    </row>
    <row r="156" spans="1:26" ht="16.350000000000001" customHeight="1" x14ac:dyDescent="0.2">
      <c r="A156" s="25" t="s">
        <v>41</v>
      </c>
      <c r="B156" s="53" t="s">
        <v>42</v>
      </c>
      <c r="C156" s="6" t="s">
        <v>43</v>
      </c>
      <c r="D156" s="15" t="s">
        <v>158</v>
      </c>
      <c r="E156" s="6" t="s">
        <v>22</v>
      </c>
      <c r="F156" s="31" t="s">
        <v>706</v>
      </c>
      <c r="G156" s="17" t="s">
        <v>705</v>
      </c>
      <c r="H156" s="6" t="s">
        <v>14</v>
      </c>
      <c r="I156" s="6" t="s">
        <v>44</v>
      </c>
      <c r="J156" s="55" t="s">
        <v>707</v>
      </c>
      <c r="L156" s="18" t="s">
        <v>2</v>
      </c>
      <c r="M156" s="19">
        <f t="shared" si="20"/>
        <v>2024</v>
      </c>
      <c r="N156" s="19" t="str">
        <f t="shared" si="21"/>
        <v>07</v>
      </c>
      <c r="O156" s="19">
        <f t="shared" si="22"/>
        <v>20</v>
      </c>
      <c r="P156" s="18" t="str">
        <f t="shared" si="23"/>
        <v>20240720</v>
      </c>
      <c r="Q156" s="20"/>
      <c r="R156" s="18" t="s">
        <v>27</v>
      </c>
      <c r="S156" s="18">
        <f t="shared" ca="1" si="24"/>
        <v>2022</v>
      </c>
      <c r="T156" s="21">
        <f t="shared" ca="1" si="18"/>
        <v>12</v>
      </c>
      <c r="U156" s="21" t="str">
        <f t="shared" ca="1" si="19"/>
        <v>05</v>
      </c>
      <c r="V156" s="21" t="str">
        <f t="shared" ca="1" si="25"/>
        <v>20221205</v>
      </c>
      <c r="Z156" s="6" t="s">
        <v>799</v>
      </c>
    </row>
    <row r="157" spans="1:26" ht="16.350000000000001" customHeight="1" x14ac:dyDescent="0.2">
      <c r="A157" s="25" t="s">
        <v>270</v>
      </c>
      <c r="B157" s="61">
        <v>1025508</v>
      </c>
      <c r="C157" s="6" t="s">
        <v>271</v>
      </c>
      <c r="D157" s="15" t="s">
        <v>161</v>
      </c>
      <c r="E157" s="26" t="s">
        <v>22</v>
      </c>
      <c r="F157" s="27" t="s">
        <v>706</v>
      </c>
      <c r="G157" s="17" t="s">
        <v>705</v>
      </c>
      <c r="H157" s="52" t="s">
        <v>14</v>
      </c>
      <c r="I157" s="26" t="s">
        <v>395</v>
      </c>
      <c r="J157" s="55" t="s">
        <v>403</v>
      </c>
      <c r="L157" s="18" t="s">
        <v>2</v>
      </c>
      <c r="M157" s="19">
        <f t="shared" si="20"/>
        <v>2024</v>
      </c>
      <c r="N157" s="19" t="str">
        <f t="shared" si="21"/>
        <v>07</v>
      </c>
      <c r="O157" s="19">
        <f t="shared" si="22"/>
        <v>20</v>
      </c>
      <c r="P157" s="18" t="str">
        <f t="shared" si="23"/>
        <v>20240720</v>
      </c>
      <c r="Q157" s="20"/>
      <c r="R157" s="18" t="s">
        <v>27</v>
      </c>
      <c r="S157" s="18">
        <f t="shared" ca="1" si="24"/>
        <v>2022</v>
      </c>
      <c r="T157" s="21">
        <f t="shared" ca="1" si="18"/>
        <v>12</v>
      </c>
      <c r="U157" s="21" t="str">
        <f t="shared" ca="1" si="19"/>
        <v>05</v>
      </c>
      <c r="V157" s="21" t="str">
        <f t="shared" ca="1" si="25"/>
        <v>20221205</v>
      </c>
      <c r="Z157" s="29" t="s">
        <v>799</v>
      </c>
    </row>
    <row r="158" spans="1:26" ht="16.350000000000001" customHeight="1" x14ac:dyDescent="0.2">
      <c r="A158" s="25" t="s">
        <v>272</v>
      </c>
      <c r="B158" s="61">
        <v>1025508</v>
      </c>
      <c r="C158" s="6" t="s">
        <v>273</v>
      </c>
      <c r="D158" s="15" t="s">
        <v>161</v>
      </c>
      <c r="E158" s="6" t="s">
        <v>22</v>
      </c>
      <c r="F158" s="27" t="s">
        <v>706</v>
      </c>
      <c r="G158" s="17" t="s">
        <v>705</v>
      </c>
      <c r="H158" s="51" t="s">
        <v>14</v>
      </c>
      <c r="I158" s="26" t="s">
        <v>395</v>
      </c>
      <c r="J158" s="55" t="s">
        <v>403</v>
      </c>
      <c r="L158" s="18" t="s">
        <v>2</v>
      </c>
      <c r="M158" s="19">
        <f t="shared" si="20"/>
        <v>2024</v>
      </c>
      <c r="N158" s="19" t="str">
        <f t="shared" si="21"/>
        <v>07</v>
      </c>
      <c r="O158" s="19">
        <f t="shared" si="22"/>
        <v>20</v>
      </c>
      <c r="P158" s="18" t="str">
        <f t="shared" si="23"/>
        <v>20240720</v>
      </c>
      <c r="Q158" s="20"/>
      <c r="R158" s="18" t="s">
        <v>27</v>
      </c>
      <c r="S158" s="18">
        <f t="shared" ca="1" si="24"/>
        <v>2022</v>
      </c>
      <c r="T158" s="21">
        <f t="shared" ca="1" si="18"/>
        <v>12</v>
      </c>
      <c r="U158" s="21" t="str">
        <f t="shared" ca="1" si="19"/>
        <v>05</v>
      </c>
      <c r="V158" s="21" t="str">
        <f t="shared" ca="1" si="25"/>
        <v>20221205</v>
      </c>
      <c r="Z158" s="6" t="s">
        <v>799</v>
      </c>
    </row>
    <row r="159" spans="1:26" ht="16.350000000000001" customHeight="1" x14ac:dyDescent="0.2">
      <c r="A159" s="25" t="s">
        <v>56</v>
      </c>
      <c r="B159" s="61">
        <v>1024381</v>
      </c>
      <c r="C159" s="6" t="s">
        <v>57</v>
      </c>
      <c r="D159" s="15" t="s">
        <v>158</v>
      </c>
      <c r="E159" s="6" t="s">
        <v>22</v>
      </c>
      <c r="F159" s="31" t="s">
        <v>709</v>
      </c>
      <c r="G159" s="17" t="s">
        <v>708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20"/>
        <v>2024</v>
      </c>
      <c r="N159" s="19" t="str">
        <f t="shared" si="21"/>
        <v>07</v>
      </c>
      <c r="O159" s="19">
        <f t="shared" si="22"/>
        <v>25</v>
      </c>
      <c r="P159" s="18" t="str">
        <f t="shared" si="23"/>
        <v>20240725</v>
      </c>
      <c r="Q159" s="20"/>
      <c r="R159" s="18" t="s">
        <v>27</v>
      </c>
      <c r="S159" s="18">
        <f t="shared" ca="1" si="24"/>
        <v>2022</v>
      </c>
      <c r="T159" s="21">
        <f t="shared" ca="1" si="18"/>
        <v>12</v>
      </c>
      <c r="U159" s="21" t="str">
        <f t="shared" ca="1" si="19"/>
        <v>05</v>
      </c>
      <c r="V159" s="21" t="str">
        <f t="shared" ca="1" si="25"/>
        <v>20221205</v>
      </c>
      <c r="Z159" s="29" t="s">
        <v>799</v>
      </c>
    </row>
    <row r="160" spans="1:26" ht="16.350000000000001" customHeight="1" x14ac:dyDescent="0.2">
      <c r="A160" s="25" t="s">
        <v>62</v>
      </c>
      <c r="B160" s="53" t="s">
        <v>63</v>
      </c>
      <c r="C160" s="6" t="s">
        <v>64</v>
      </c>
      <c r="D160" s="15" t="s">
        <v>158</v>
      </c>
      <c r="E160" s="6" t="s">
        <v>22</v>
      </c>
      <c r="F160" s="31" t="s">
        <v>709</v>
      </c>
      <c r="G160" s="17" t="s">
        <v>708</v>
      </c>
      <c r="H160" s="6" t="s">
        <v>14</v>
      </c>
      <c r="I160" s="6" t="s">
        <v>13</v>
      </c>
      <c r="J160" s="55" t="s">
        <v>65</v>
      </c>
      <c r="L160" s="18" t="s">
        <v>2</v>
      </c>
      <c r="M160" s="19">
        <f t="shared" si="20"/>
        <v>2024</v>
      </c>
      <c r="N160" s="19" t="str">
        <f t="shared" si="21"/>
        <v>07</v>
      </c>
      <c r="O160" s="19">
        <f t="shared" si="22"/>
        <v>25</v>
      </c>
      <c r="P160" s="18" t="str">
        <f t="shared" si="23"/>
        <v>20240725</v>
      </c>
      <c r="Q160" s="20"/>
      <c r="R160" s="18" t="s">
        <v>27</v>
      </c>
      <c r="S160" s="18">
        <f t="shared" ca="1" si="24"/>
        <v>2022</v>
      </c>
      <c r="T160" s="21">
        <f t="shared" ca="1" si="18"/>
        <v>12</v>
      </c>
      <c r="U160" s="21" t="str">
        <f t="shared" ca="1" si="19"/>
        <v>05</v>
      </c>
      <c r="V160" s="21" t="str">
        <f t="shared" ca="1" si="25"/>
        <v>20221205</v>
      </c>
      <c r="Z160" s="6" t="s">
        <v>799</v>
      </c>
    </row>
    <row r="161" spans="1:26" ht="16.350000000000001" customHeight="1" x14ac:dyDescent="0.2">
      <c r="A161" s="25" t="s">
        <v>96</v>
      </c>
      <c r="B161" s="61">
        <v>5455395</v>
      </c>
      <c r="C161" s="6" t="s">
        <v>97</v>
      </c>
      <c r="D161" s="15" t="s">
        <v>158</v>
      </c>
      <c r="E161" s="6" t="s">
        <v>22</v>
      </c>
      <c r="F161" s="31" t="s">
        <v>709</v>
      </c>
      <c r="G161" s="17" t="s">
        <v>708</v>
      </c>
      <c r="H161" s="6" t="s">
        <v>14</v>
      </c>
      <c r="I161" s="6" t="s">
        <v>13</v>
      </c>
      <c r="J161" s="55" t="s">
        <v>35</v>
      </c>
      <c r="L161" s="18" t="s">
        <v>2</v>
      </c>
      <c r="M161" s="19">
        <f t="shared" si="20"/>
        <v>2024</v>
      </c>
      <c r="N161" s="19" t="str">
        <f t="shared" si="21"/>
        <v>07</v>
      </c>
      <c r="O161" s="19">
        <f t="shared" si="22"/>
        <v>25</v>
      </c>
      <c r="P161" s="18" t="str">
        <f t="shared" si="23"/>
        <v>20240725</v>
      </c>
      <c r="Q161" s="20"/>
      <c r="R161" s="18" t="s">
        <v>27</v>
      </c>
      <c r="S161" s="18">
        <f t="shared" ca="1" si="24"/>
        <v>2022</v>
      </c>
      <c r="T161" s="21">
        <f t="shared" ca="1" si="18"/>
        <v>12</v>
      </c>
      <c r="U161" s="21" t="str">
        <f t="shared" ca="1" si="19"/>
        <v>05</v>
      </c>
      <c r="V161" s="21" t="str">
        <f t="shared" ca="1" si="25"/>
        <v>20221205</v>
      </c>
      <c r="Z161" s="29" t="s">
        <v>799</v>
      </c>
    </row>
    <row r="162" spans="1:26" ht="16.350000000000001" customHeight="1" x14ac:dyDescent="0.2">
      <c r="A162" s="25" t="s">
        <v>98</v>
      </c>
      <c r="B162" s="61">
        <v>5455396</v>
      </c>
      <c r="C162" s="6" t="s">
        <v>99</v>
      </c>
      <c r="D162" s="15" t="s">
        <v>158</v>
      </c>
      <c r="E162" s="6" t="s">
        <v>22</v>
      </c>
      <c r="F162" s="31" t="s">
        <v>709</v>
      </c>
      <c r="G162" s="17" t="s">
        <v>708</v>
      </c>
      <c r="H162" s="6" t="s">
        <v>14</v>
      </c>
      <c r="I162" s="6" t="s">
        <v>13</v>
      </c>
      <c r="J162" s="55" t="s">
        <v>35</v>
      </c>
      <c r="L162" s="18" t="s">
        <v>2</v>
      </c>
      <c r="M162" s="19">
        <f t="shared" si="20"/>
        <v>2024</v>
      </c>
      <c r="N162" s="19" t="str">
        <f t="shared" si="21"/>
        <v>07</v>
      </c>
      <c r="O162" s="19">
        <f t="shared" si="22"/>
        <v>25</v>
      </c>
      <c r="P162" s="18" t="str">
        <f t="shared" si="23"/>
        <v>20240725</v>
      </c>
      <c r="Q162" s="20"/>
      <c r="R162" s="18" t="s">
        <v>27</v>
      </c>
      <c r="S162" s="18">
        <f t="shared" ca="1" si="24"/>
        <v>2022</v>
      </c>
      <c r="T162" s="21">
        <f t="shared" ca="1" si="18"/>
        <v>12</v>
      </c>
      <c r="U162" s="21" t="str">
        <f t="shared" ca="1" si="19"/>
        <v>05</v>
      </c>
      <c r="V162" s="21" t="str">
        <f t="shared" ca="1" si="25"/>
        <v>20221205</v>
      </c>
      <c r="Z162" s="6" t="s">
        <v>799</v>
      </c>
    </row>
    <row r="163" spans="1:26" ht="16.350000000000001" customHeight="1" x14ac:dyDescent="0.2">
      <c r="A163" s="25" t="s">
        <v>163</v>
      </c>
      <c r="B163" s="53" t="s">
        <v>50</v>
      </c>
      <c r="C163" s="6" t="s">
        <v>164</v>
      </c>
      <c r="D163" s="15" t="s">
        <v>161</v>
      </c>
      <c r="E163" s="6" t="s">
        <v>22</v>
      </c>
      <c r="F163" s="31" t="s">
        <v>709</v>
      </c>
      <c r="G163" s="17" t="s">
        <v>708</v>
      </c>
      <c r="H163" s="6" t="s">
        <v>14</v>
      </c>
      <c r="I163" s="6" t="s">
        <v>13</v>
      </c>
      <c r="J163" s="55" t="s">
        <v>4</v>
      </c>
      <c r="L163" s="18" t="s">
        <v>2</v>
      </c>
      <c r="M163" s="19">
        <f t="shared" si="20"/>
        <v>2024</v>
      </c>
      <c r="N163" s="19" t="str">
        <f t="shared" si="21"/>
        <v>07</v>
      </c>
      <c r="O163" s="19">
        <f t="shared" si="22"/>
        <v>25</v>
      </c>
      <c r="P163" s="18" t="str">
        <f t="shared" si="23"/>
        <v>20240725</v>
      </c>
      <c r="Q163" s="20"/>
      <c r="R163" s="18" t="s">
        <v>27</v>
      </c>
      <c r="S163" s="18">
        <f t="shared" ca="1" si="24"/>
        <v>2022</v>
      </c>
      <c r="T163" s="21">
        <f t="shared" ca="1" si="18"/>
        <v>12</v>
      </c>
      <c r="U163" s="21" t="str">
        <f t="shared" ca="1" si="19"/>
        <v>05</v>
      </c>
      <c r="V163" s="21" t="str">
        <f t="shared" ca="1" si="25"/>
        <v>20221205</v>
      </c>
      <c r="Z163" s="29" t="s">
        <v>799</v>
      </c>
    </row>
    <row r="164" spans="1:26" ht="16.350000000000001" customHeight="1" x14ac:dyDescent="0.2">
      <c r="A164" s="25" t="s">
        <v>165</v>
      </c>
      <c r="B164" s="53" t="s">
        <v>47</v>
      </c>
      <c r="C164" s="6" t="s">
        <v>166</v>
      </c>
      <c r="D164" s="15" t="s">
        <v>161</v>
      </c>
      <c r="E164" s="6" t="s">
        <v>22</v>
      </c>
      <c r="F164" s="31" t="s">
        <v>709</v>
      </c>
      <c r="G164" s="17" t="s">
        <v>708</v>
      </c>
      <c r="H164" s="6" t="s">
        <v>14</v>
      </c>
      <c r="I164" s="6" t="s">
        <v>13</v>
      </c>
      <c r="J164" s="55" t="s">
        <v>4</v>
      </c>
      <c r="L164" s="18" t="s">
        <v>2</v>
      </c>
      <c r="M164" s="19">
        <f t="shared" si="20"/>
        <v>2024</v>
      </c>
      <c r="N164" s="19" t="str">
        <f t="shared" si="21"/>
        <v>07</v>
      </c>
      <c r="O164" s="19">
        <f t="shared" si="22"/>
        <v>25</v>
      </c>
      <c r="P164" s="18" t="str">
        <f t="shared" si="23"/>
        <v>20240725</v>
      </c>
      <c r="Q164" s="20"/>
      <c r="R164" s="18" t="s">
        <v>27</v>
      </c>
      <c r="S164" s="18">
        <f t="shared" ca="1" si="24"/>
        <v>2022</v>
      </c>
      <c r="T164" s="21">
        <f t="shared" ca="1" si="18"/>
        <v>12</v>
      </c>
      <c r="U164" s="21" t="str">
        <f t="shared" ca="1" si="19"/>
        <v>05</v>
      </c>
      <c r="V164" s="21" t="str">
        <f t="shared" ca="1" si="25"/>
        <v>20221205</v>
      </c>
      <c r="Z164" s="6" t="s">
        <v>799</v>
      </c>
    </row>
    <row r="165" spans="1:26" ht="16.350000000000001" customHeight="1" x14ac:dyDescent="0.2">
      <c r="A165" s="25" t="s">
        <v>167</v>
      </c>
      <c r="B165" s="53" t="s">
        <v>63</v>
      </c>
      <c r="C165" s="6" t="s">
        <v>168</v>
      </c>
      <c r="D165" s="15" t="s">
        <v>161</v>
      </c>
      <c r="E165" s="6" t="s">
        <v>22</v>
      </c>
      <c r="F165" s="31" t="s">
        <v>709</v>
      </c>
      <c r="G165" s="17" t="s">
        <v>708</v>
      </c>
      <c r="H165" s="6" t="s">
        <v>14</v>
      </c>
      <c r="I165" s="6" t="s">
        <v>13</v>
      </c>
      <c r="J165" s="55" t="s">
        <v>4</v>
      </c>
      <c r="L165" s="18" t="s">
        <v>2</v>
      </c>
      <c r="M165" s="19">
        <f t="shared" si="20"/>
        <v>2024</v>
      </c>
      <c r="N165" s="19" t="str">
        <f t="shared" si="21"/>
        <v>07</v>
      </c>
      <c r="O165" s="19">
        <f t="shared" si="22"/>
        <v>25</v>
      </c>
      <c r="P165" s="18" t="str">
        <f t="shared" si="23"/>
        <v>20240725</v>
      </c>
      <c r="Q165" s="20"/>
      <c r="R165" s="18" t="s">
        <v>27</v>
      </c>
      <c r="S165" s="18">
        <f t="shared" ca="1" si="24"/>
        <v>2022</v>
      </c>
      <c r="T165" s="21">
        <f t="shared" ca="1" si="18"/>
        <v>12</v>
      </c>
      <c r="U165" s="21" t="str">
        <f t="shared" ca="1" si="19"/>
        <v>05</v>
      </c>
      <c r="V165" s="21" t="str">
        <f t="shared" ca="1" si="25"/>
        <v>20221205</v>
      </c>
      <c r="Z165" s="29" t="s">
        <v>799</v>
      </c>
    </row>
    <row r="166" spans="1:26" ht="16.350000000000001" customHeight="1" x14ac:dyDescent="0.2">
      <c r="A166" s="14" t="s">
        <v>169</v>
      </c>
      <c r="B166" s="60" t="s">
        <v>25</v>
      </c>
      <c r="C166" s="15" t="s">
        <v>170</v>
      </c>
      <c r="D166" s="15" t="s">
        <v>161</v>
      </c>
      <c r="E166" s="6" t="s">
        <v>22</v>
      </c>
      <c r="F166" s="31" t="s">
        <v>709</v>
      </c>
      <c r="G166" s="17" t="s">
        <v>708</v>
      </c>
      <c r="H166" s="6" t="s">
        <v>14</v>
      </c>
      <c r="I166" s="6" t="s">
        <v>13</v>
      </c>
      <c r="J166" s="54" t="s">
        <v>4</v>
      </c>
      <c r="L166" s="18" t="s">
        <v>2</v>
      </c>
      <c r="M166" s="19">
        <f t="shared" si="20"/>
        <v>2024</v>
      </c>
      <c r="N166" s="19" t="str">
        <f t="shared" si="21"/>
        <v>07</v>
      </c>
      <c r="O166" s="19">
        <f t="shared" si="22"/>
        <v>25</v>
      </c>
      <c r="P166" s="18" t="str">
        <f t="shared" si="23"/>
        <v>20240725</v>
      </c>
      <c r="Q166" s="20"/>
      <c r="R166" s="18" t="s">
        <v>27</v>
      </c>
      <c r="S166" s="18">
        <f t="shared" ca="1" si="24"/>
        <v>2022</v>
      </c>
      <c r="T166" s="21">
        <f t="shared" ca="1" si="18"/>
        <v>12</v>
      </c>
      <c r="U166" s="21" t="str">
        <f t="shared" ca="1" si="19"/>
        <v>05</v>
      </c>
      <c r="V166" s="21" t="str">
        <f t="shared" ca="1" si="25"/>
        <v>20221205</v>
      </c>
      <c r="Z166" s="6" t="s">
        <v>799</v>
      </c>
    </row>
    <row r="167" spans="1:26" ht="16.350000000000001" customHeight="1" x14ac:dyDescent="0.2">
      <c r="A167" s="14" t="s">
        <v>233</v>
      </c>
      <c r="B167" s="60" t="s">
        <v>237</v>
      </c>
      <c r="C167" s="15" t="s">
        <v>257</v>
      </c>
      <c r="D167" s="15" t="s">
        <v>161</v>
      </c>
      <c r="E167" s="15" t="s">
        <v>235</v>
      </c>
      <c r="F167" s="33" t="s">
        <v>709</v>
      </c>
      <c r="G167" s="17" t="s">
        <v>708</v>
      </c>
      <c r="H167" s="15" t="s">
        <v>14</v>
      </c>
      <c r="I167" s="15" t="s">
        <v>13</v>
      </c>
      <c r="J167" s="54" t="s">
        <v>4</v>
      </c>
      <c r="L167" s="18" t="s">
        <v>2</v>
      </c>
      <c r="M167" s="19">
        <f t="shared" si="20"/>
        <v>2024</v>
      </c>
      <c r="N167" s="19" t="str">
        <f t="shared" si="21"/>
        <v>07</v>
      </c>
      <c r="O167" s="19">
        <f t="shared" si="22"/>
        <v>25</v>
      </c>
      <c r="P167" s="18" t="str">
        <f t="shared" si="23"/>
        <v>20240725</v>
      </c>
      <c r="Q167" s="20"/>
      <c r="R167" s="18" t="s">
        <v>27</v>
      </c>
      <c r="S167" s="18">
        <f t="shared" ca="1" si="24"/>
        <v>2022</v>
      </c>
      <c r="T167" s="21">
        <f t="shared" ca="1" si="18"/>
        <v>12</v>
      </c>
      <c r="U167" s="21" t="str">
        <f t="shared" ca="1" si="19"/>
        <v>05</v>
      </c>
      <c r="V167" s="21" t="str">
        <f t="shared" ca="1" si="25"/>
        <v>20221205</v>
      </c>
      <c r="Z167" s="29" t="s">
        <v>799</v>
      </c>
    </row>
    <row r="168" spans="1:26" ht="16.350000000000001" customHeight="1" x14ac:dyDescent="0.2">
      <c r="A168" s="14" t="s">
        <v>258</v>
      </c>
      <c r="B168" s="60" t="s">
        <v>237</v>
      </c>
      <c r="C168" s="15" t="s">
        <v>257</v>
      </c>
      <c r="D168" s="15" t="s">
        <v>161</v>
      </c>
      <c r="E168" s="15" t="s">
        <v>235</v>
      </c>
      <c r="F168" s="33" t="s">
        <v>709</v>
      </c>
      <c r="G168" s="17" t="s">
        <v>708</v>
      </c>
      <c r="H168" s="15" t="s">
        <v>14</v>
      </c>
      <c r="I168" s="15" t="s">
        <v>13</v>
      </c>
      <c r="J168" s="54" t="s">
        <v>4</v>
      </c>
      <c r="L168" s="18" t="s">
        <v>2</v>
      </c>
      <c r="M168" s="19">
        <f t="shared" si="20"/>
        <v>2024</v>
      </c>
      <c r="N168" s="19" t="str">
        <f t="shared" si="21"/>
        <v>07</v>
      </c>
      <c r="O168" s="19">
        <f t="shared" si="22"/>
        <v>25</v>
      </c>
      <c r="P168" s="18" t="str">
        <f t="shared" si="23"/>
        <v>20240725</v>
      </c>
      <c r="Q168" s="20"/>
      <c r="R168" s="18" t="s">
        <v>27</v>
      </c>
      <c r="S168" s="18">
        <f t="shared" ca="1" si="24"/>
        <v>2022</v>
      </c>
      <c r="T168" s="21">
        <f t="shared" ca="1" si="18"/>
        <v>12</v>
      </c>
      <c r="U168" s="21" t="str">
        <f t="shared" ca="1" si="19"/>
        <v>05</v>
      </c>
      <c r="V168" s="21" t="str">
        <f t="shared" ca="1" si="25"/>
        <v>20221205</v>
      </c>
      <c r="Z168" s="6" t="s">
        <v>799</v>
      </c>
    </row>
    <row r="169" spans="1:26" ht="16.350000000000001" customHeight="1" x14ac:dyDescent="0.2">
      <c r="A169" s="14" t="s">
        <v>259</v>
      </c>
      <c r="B169" s="60" t="s">
        <v>237</v>
      </c>
      <c r="C169" s="15" t="s">
        <v>257</v>
      </c>
      <c r="D169" s="15" t="s">
        <v>161</v>
      </c>
      <c r="E169" s="15" t="s">
        <v>235</v>
      </c>
      <c r="F169" s="33" t="s">
        <v>709</v>
      </c>
      <c r="G169" s="17" t="s">
        <v>708</v>
      </c>
      <c r="H169" s="15" t="s">
        <v>14</v>
      </c>
      <c r="I169" s="15" t="s">
        <v>13</v>
      </c>
      <c r="J169" s="54" t="s">
        <v>4</v>
      </c>
      <c r="L169" s="18" t="s">
        <v>2</v>
      </c>
      <c r="M169" s="19">
        <f t="shared" si="20"/>
        <v>2024</v>
      </c>
      <c r="N169" s="19" t="str">
        <f t="shared" si="21"/>
        <v>07</v>
      </c>
      <c r="O169" s="19">
        <f t="shared" si="22"/>
        <v>25</v>
      </c>
      <c r="P169" s="18" t="str">
        <f t="shared" si="23"/>
        <v>20240725</v>
      </c>
      <c r="Q169" s="20"/>
      <c r="R169" s="18" t="s">
        <v>27</v>
      </c>
      <c r="S169" s="18">
        <f t="shared" ca="1" si="24"/>
        <v>2022</v>
      </c>
      <c r="T169" s="21">
        <f t="shared" ref="T169:T222" ca="1" si="26">IF(MONTH(TODAY())&lt;10,CONCATENATE(0,MONTH(TODAY())),MONTH(TODAY()))</f>
        <v>12</v>
      </c>
      <c r="U169" s="21" t="str">
        <f t="shared" ref="U169:U222" ca="1" si="27">IF(DAY(TODAY())&lt;10,CONCATENATE(0,DAY(TODAY())),DAY(TODAY()))</f>
        <v>05</v>
      </c>
      <c r="V169" s="21" t="str">
        <f t="shared" ca="1" si="25"/>
        <v>20221205</v>
      </c>
      <c r="Z169" s="29" t="s">
        <v>799</v>
      </c>
    </row>
    <row r="170" spans="1:26" ht="16.350000000000001" customHeight="1" x14ac:dyDescent="0.2">
      <c r="A170" s="41" t="s">
        <v>298</v>
      </c>
      <c r="B170" s="65" t="s">
        <v>409</v>
      </c>
      <c r="C170" s="28" t="s">
        <v>299</v>
      </c>
      <c r="D170" s="28" t="s">
        <v>161</v>
      </c>
      <c r="E170" s="85" t="s">
        <v>22</v>
      </c>
      <c r="F170" s="86" t="s">
        <v>709</v>
      </c>
      <c r="G170" s="17" t="s">
        <v>708</v>
      </c>
      <c r="H170" s="28" t="s">
        <v>14</v>
      </c>
      <c r="I170" s="15" t="s">
        <v>13</v>
      </c>
      <c r="J170" s="54" t="s">
        <v>4</v>
      </c>
      <c r="L170" s="18" t="s">
        <v>2</v>
      </c>
      <c r="M170" s="19">
        <f t="shared" si="20"/>
        <v>2024</v>
      </c>
      <c r="N170" s="19" t="str">
        <f t="shared" si="21"/>
        <v>07</v>
      </c>
      <c r="O170" s="19">
        <f t="shared" si="22"/>
        <v>25</v>
      </c>
      <c r="P170" s="18" t="str">
        <f t="shared" si="23"/>
        <v>20240725</v>
      </c>
      <c r="Q170" s="20"/>
      <c r="R170" s="18" t="s">
        <v>27</v>
      </c>
      <c r="S170" s="18">
        <f t="shared" ca="1" si="24"/>
        <v>2022</v>
      </c>
      <c r="T170" s="21">
        <f t="shared" ca="1" si="26"/>
        <v>12</v>
      </c>
      <c r="U170" s="21" t="str">
        <f t="shared" ca="1" si="27"/>
        <v>05</v>
      </c>
      <c r="V170" s="21" t="str">
        <f t="shared" ca="1" si="25"/>
        <v>20221205</v>
      </c>
      <c r="Z170" s="6" t="s">
        <v>799</v>
      </c>
    </row>
    <row r="171" spans="1:26" ht="16.350000000000001" customHeight="1" x14ac:dyDescent="0.2">
      <c r="A171" s="14" t="s">
        <v>20</v>
      </c>
      <c r="B171" s="60" t="s">
        <v>25</v>
      </c>
      <c r="C171" s="15" t="s">
        <v>21</v>
      </c>
      <c r="D171" s="15" t="s">
        <v>158</v>
      </c>
      <c r="E171" s="15" t="s">
        <v>22</v>
      </c>
      <c r="F171" s="16" t="s">
        <v>710</v>
      </c>
      <c r="G171" s="17" t="s">
        <v>711</v>
      </c>
      <c r="H171" s="15" t="s">
        <v>14</v>
      </c>
      <c r="I171" s="15" t="s">
        <v>23</v>
      </c>
      <c r="J171" s="54" t="s">
        <v>713</v>
      </c>
      <c r="L171" s="18" t="s">
        <v>2</v>
      </c>
      <c r="M171" s="19">
        <f t="shared" si="20"/>
        <v>2024</v>
      </c>
      <c r="N171" s="19" t="str">
        <f t="shared" si="21"/>
        <v>07</v>
      </c>
      <c r="O171" s="19">
        <f t="shared" si="22"/>
        <v>26</v>
      </c>
      <c r="P171" s="18" t="str">
        <f t="shared" ref="P171:P222" si="28">CONCATENATE(M171,N171,O171)</f>
        <v>20240726</v>
      </c>
      <c r="Q171" s="20"/>
      <c r="R171" s="18" t="s">
        <v>27</v>
      </c>
      <c r="S171" s="18">
        <f t="shared" ref="S171:S222" ca="1" si="29">YEAR(TODAY())</f>
        <v>2022</v>
      </c>
      <c r="T171" s="21">
        <f t="shared" ca="1" si="26"/>
        <v>12</v>
      </c>
      <c r="U171" s="21" t="str">
        <f t="shared" ca="1" si="27"/>
        <v>05</v>
      </c>
      <c r="V171" s="21" t="str">
        <f t="shared" ref="V171:V222" ca="1" si="30">CONCATENATE(S171,T171,U171)</f>
        <v>20221205</v>
      </c>
      <c r="Z171" s="29" t="s">
        <v>799</v>
      </c>
    </row>
    <row r="172" spans="1:26" ht="16.350000000000001" customHeight="1" x14ac:dyDescent="0.2">
      <c r="A172" s="14" t="s">
        <v>24</v>
      </c>
      <c r="B172" s="60" t="s">
        <v>25</v>
      </c>
      <c r="C172" s="15" t="s">
        <v>21</v>
      </c>
      <c r="D172" s="15" t="s">
        <v>158</v>
      </c>
      <c r="E172" s="15" t="s">
        <v>22</v>
      </c>
      <c r="F172" s="16" t="s">
        <v>710</v>
      </c>
      <c r="G172" s="17" t="s">
        <v>711</v>
      </c>
      <c r="H172" s="15" t="s">
        <v>14</v>
      </c>
      <c r="I172" s="15" t="s">
        <v>26</v>
      </c>
      <c r="J172" s="54" t="s">
        <v>716</v>
      </c>
      <c r="L172" s="18" t="s">
        <v>2</v>
      </c>
      <c r="M172" s="19">
        <f t="shared" si="20"/>
        <v>2024</v>
      </c>
      <c r="N172" s="19" t="str">
        <f t="shared" si="21"/>
        <v>07</v>
      </c>
      <c r="O172" s="19">
        <f t="shared" si="22"/>
        <v>26</v>
      </c>
      <c r="P172" s="18" t="str">
        <f t="shared" si="28"/>
        <v>20240726</v>
      </c>
      <c r="Q172" s="20"/>
      <c r="R172" s="18" t="s">
        <v>27</v>
      </c>
      <c r="S172" s="18">
        <f t="shared" ca="1" si="29"/>
        <v>2022</v>
      </c>
      <c r="T172" s="21">
        <f t="shared" ca="1" si="26"/>
        <v>12</v>
      </c>
      <c r="U172" s="21" t="str">
        <f t="shared" ca="1" si="27"/>
        <v>05</v>
      </c>
      <c r="V172" s="21" t="str">
        <f t="shared" ca="1" si="30"/>
        <v>20221205</v>
      </c>
      <c r="Z172" s="6" t="s">
        <v>799</v>
      </c>
    </row>
    <row r="173" spans="1:26" ht="16.350000000000001" customHeight="1" x14ac:dyDescent="0.2">
      <c r="A173" s="14" t="s">
        <v>46</v>
      </c>
      <c r="B173" s="60" t="s">
        <v>47</v>
      </c>
      <c r="C173" s="15" t="s">
        <v>48</v>
      </c>
      <c r="D173" s="15" t="s">
        <v>158</v>
      </c>
      <c r="E173" s="15" t="s">
        <v>22</v>
      </c>
      <c r="F173" s="16" t="s">
        <v>710</v>
      </c>
      <c r="G173" s="17" t="s">
        <v>711</v>
      </c>
      <c r="H173" s="15" t="s">
        <v>14</v>
      </c>
      <c r="I173" s="15" t="s">
        <v>19</v>
      </c>
      <c r="J173" s="54" t="s">
        <v>4</v>
      </c>
      <c r="L173" s="18" t="s">
        <v>2</v>
      </c>
      <c r="M173" s="19">
        <f t="shared" si="20"/>
        <v>2024</v>
      </c>
      <c r="N173" s="19" t="str">
        <f t="shared" si="21"/>
        <v>07</v>
      </c>
      <c r="O173" s="19">
        <f t="shared" si="22"/>
        <v>26</v>
      </c>
      <c r="P173" s="18" t="str">
        <f t="shared" si="28"/>
        <v>20240726</v>
      </c>
      <c r="Q173" s="20"/>
      <c r="R173" s="18" t="s">
        <v>27</v>
      </c>
      <c r="S173" s="18">
        <f t="shared" ca="1" si="29"/>
        <v>2022</v>
      </c>
      <c r="T173" s="21">
        <f t="shared" ca="1" si="26"/>
        <v>12</v>
      </c>
      <c r="U173" s="21" t="str">
        <f t="shared" ca="1" si="27"/>
        <v>05</v>
      </c>
      <c r="V173" s="21" t="str">
        <f t="shared" ca="1" si="30"/>
        <v>20221205</v>
      </c>
      <c r="Z173" s="29" t="s">
        <v>799</v>
      </c>
    </row>
    <row r="174" spans="1:26" ht="16.350000000000001" customHeight="1" x14ac:dyDescent="0.2">
      <c r="A174" s="14" t="s">
        <v>49</v>
      </c>
      <c r="B174" s="60" t="s">
        <v>50</v>
      </c>
      <c r="C174" s="15" t="s">
        <v>51</v>
      </c>
      <c r="D174" s="15" t="s">
        <v>158</v>
      </c>
      <c r="E174" s="15" t="s">
        <v>22</v>
      </c>
      <c r="F174" s="16" t="s">
        <v>710</v>
      </c>
      <c r="G174" s="17" t="s">
        <v>711</v>
      </c>
      <c r="H174" s="15" t="s">
        <v>14</v>
      </c>
      <c r="I174" s="15" t="s">
        <v>19</v>
      </c>
      <c r="J174" s="54" t="s">
        <v>55</v>
      </c>
      <c r="L174" s="18" t="s">
        <v>2</v>
      </c>
      <c r="M174" s="19">
        <f t="shared" si="20"/>
        <v>2024</v>
      </c>
      <c r="N174" s="19" t="str">
        <f t="shared" si="21"/>
        <v>07</v>
      </c>
      <c r="O174" s="19">
        <f t="shared" si="22"/>
        <v>26</v>
      </c>
      <c r="P174" s="18" t="str">
        <f t="shared" si="28"/>
        <v>20240726</v>
      </c>
      <c r="Q174" s="20"/>
      <c r="R174" s="18" t="s">
        <v>27</v>
      </c>
      <c r="S174" s="18">
        <f t="shared" ca="1" si="29"/>
        <v>2022</v>
      </c>
      <c r="T174" s="21">
        <f t="shared" ca="1" si="26"/>
        <v>12</v>
      </c>
      <c r="U174" s="21" t="str">
        <f t="shared" ca="1" si="27"/>
        <v>05</v>
      </c>
      <c r="V174" s="21" t="str">
        <f t="shared" ca="1" si="30"/>
        <v>20221205</v>
      </c>
      <c r="Z174" s="6" t="s">
        <v>799</v>
      </c>
    </row>
    <row r="175" spans="1:26" ht="16.350000000000001" customHeight="1" x14ac:dyDescent="0.2">
      <c r="A175" s="14" t="s">
        <v>213</v>
      </c>
      <c r="B175" s="60" t="s">
        <v>246</v>
      </c>
      <c r="C175" s="15" t="s">
        <v>249</v>
      </c>
      <c r="D175" s="15" t="s">
        <v>161</v>
      </c>
      <c r="E175" s="15" t="s">
        <v>235</v>
      </c>
      <c r="F175" s="33" t="s">
        <v>710</v>
      </c>
      <c r="G175" s="17" t="s">
        <v>711</v>
      </c>
      <c r="H175" s="15" t="s">
        <v>14</v>
      </c>
      <c r="I175" s="15" t="s">
        <v>19</v>
      </c>
      <c r="J175" s="54" t="s">
        <v>245</v>
      </c>
      <c r="L175" s="18" t="s">
        <v>2</v>
      </c>
      <c r="M175" s="19">
        <f t="shared" si="20"/>
        <v>2024</v>
      </c>
      <c r="N175" s="19" t="str">
        <f t="shared" si="21"/>
        <v>07</v>
      </c>
      <c r="O175" s="19">
        <f t="shared" si="22"/>
        <v>26</v>
      </c>
      <c r="P175" s="18" t="str">
        <f t="shared" si="28"/>
        <v>20240726</v>
      </c>
      <c r="Q175" s="20"/>
      <c r="R175" s="18" t="s">
        <v>27</v>
      </c>
      <c r="S175" s="18">
        <f t="shared" ca="1" si="29"/>
        <v>2022</v>
      </c>
      <c r="T175" s="21">
        <f t="shared" ca="1" si="26"/>
        <v>12</v>
      </c>
      <c r="U175" s="21" t="str">
        <f t="shared" ca="1" si="27"/>
        <v>05</v>
      </c>
      <c r="V175" s="21" t="str">
        <f t="shared" ca="1" si="30"/>
        <v>20221205</v>
      </c>
      <c r="Z175" s="29" t="s">
        <v>799</v>
      </c>
    </row>
    <row r="176" spans="1:26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710</v>
      </c>
      <c r="G176" s="17" t="s">
        <v>711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20"/>
        <v>2024</v>
      </c>
      <c r="N176" s="19" t="str">
        <f t="shared" si="21"/>
        <v>07</v>
      </c>
      <c r="O176" s="19">
        <f t="shared" si="22"/>
        <v>26</v>
      </c>
      <c r="P176" s="18" t="str">
        <f t="shared" si="28"/>
        <v>20240726</v>
      </c>
      <c r="Q176" s="20"/>
      <c r="R176" s="18" t="s">
        <v>27</v>
      </c>
      <c r="S176" s="18">
        <f t="shared" ca="1" si="29"/>
        <v>2022</v>
      </c>
      <c r="T176" s="21">
        <f t="shared" ca="1" si="26"/>
        <v>12</v>
      </c>
      <c r="U176" s="21" t="str">
        <f t="shared" ca="1" si="27"/>
        <v>05</v>
      </c>
      <c r="V176" s="21" t="str">
        <f t="shared" ca="1" si="30"/>
        <v>20221205</v>
      </c>
      <c r="Z176" s="6" t="s">
        <v>627</v>
      </c>
    </row>
    <row r="177" spans="1:26" ht="16.350000000000001" customHeight="1" x14ac:dyDescent="0.2">
      <c r="A177" s="14" t="s">
        <v>214</v>
      </c>
      <c r="B177" s="60" t="s">
        <v>244</v>
      </c>
      <c r="C177" s="15" t="s">
        <v>250</v>
      </c>
      <c r="D177" s="15" t="s">
        <v>161</v>
      </c>
      <c r="E177" s="15" t="s">
        <v>235</v>
      </c>
      <c r="F177" s="17" t="s">
        <v>710</v>
      </c>
      <c r="G177" s="17" t="s">
        <v>711</v>
      </c>
      <c r="H177" s="15" t="s">
        <v>14</v>
      </c>
      <c r="I177" s="15" t="s">
        <v>19</v>
      </c>
      <c r="J177" s="54" t="s">
        <v>243</v>
      </c>
      <c r="L177" s="18" t="s">
        <v>2</v>
      </c>
      <c r="M177" s="19">
        <f t="shared" si="20"/>
        <v>2024</v>
      </c>
      <c r="N177" s="19" t="str">
        <f t="shared" si="21"/>
        <v>07</v>
      </c>
      <c r="O177" s="19">
        <f t="shared" si="22"/>
        <v>26</v>
      </c>
      <c r="P177" s="18" t="str">
        <f t="shared" si="28"/>
        <v>20240726</v>
      </c>
      <c r="Q177" s="20"/>
      <c r="R177" s="18" t="s">
        <v>27</v>
      </c>
      <c r="S177" s="18">
        <f t="shared" ca="1" si="29"/>
        <v>2022</v>
      </c>
      <c r="T177" s="21">
        <f t="shared" ca="1" si="26"/>
        <v>12</v>
      </c>
      <c r="U177" s="21" t="str">
        <f t="shared" ca="1" si="27"/>
        <v>05</v>
      </c>
      <c r="V177" s="21" t="str">
        <f t="shared" ca="1" si="30"/>
        <v>20221205</v>
      </c>
      <c r="Z177" s="29" t="s">
        <v>799</v>
      </c>
    </row>
    <row r="178" spans="1:26" ht="16.350000000000001" customHeight="1" x14ac:dyDescent="0.2">
      <c r="A178" s="14" t="s">
        <v>224</v>
      </c>
      <c r="B178" s="60" t="s">
        <v>237</v>
      </c>
      <c r="C178" s="15" t="s">
        <v>254</v>
      </c>
      <c r="D178" s="15" t="s">
        <v>161</v>
      </c>
      <c r="E178" s="60" t="s">
        <v>235</v>
      </c>
      <c r="F178" s="33" t="s">
        <v>710</v>
      </c>
      <c r="G178" s="17" t="s">
        <v>711</v>
      </c>
      <c r="H178" s="15" t="s">
        <v>14</v>
      </c>
      <c r="I178" s="15" t="s">
        <v>19</v>
      </c>
      <c r="J178" s="54" t="s">
        <v>4</v>
      </c>
      <c r="L178" s="18" t="s">
        <v>2</v>
      </c>
      <c r="M178" s="19">
        <f t="shared" si="20"/>
        <v>2024</v>
      </c>
      <c r="N178" s="19" t="str">
        <f t="shared" si="21"/>
        <v>07</v>
      </c>
      <c r="O178" s="19">
        <f t="shared" si="22"/>
        <v>26</v>
      </c>
      <c r="P178" s="18" t="str">
        <f t="shared" si="28"/>
        <v>20240726</v>
      </c>
      <c r="Q178" s="20"/>
      <c r="R178" s="18" t="s">
        <v>27</v>
      </c>
      <c r="S178" s="18">
        <f t="shared" ca="1" si="29"/>
        <v>2022</v>
      </c>
      <c r="T178" s="21">
        <f t="shared" ca="1" si="26"/>
        <v>12</v>
      </c>
      <c r="U178" s="21" t="str">
        <f t="shared" ca="1" si="27"/>
        <v>05</v>
      </c>
      <c r="V178" s="21" t="str">
        <f t="shared" ca="1" si="30"/>
        <v>20221205</v>
      </c>
      <c r="Z178" s="6" t="s">
        <v>799</v>
      </c>
    </row>
    <row r="179" spans="1:26" ht="16.350000000000001" customHeight="1" x14ac:dyDescent="0.2">
      <c r="A179" s="14" t="s">
        <v>374</v>
      </c>
      <c r="B179" s="60" t="s">
        <v>131</v>
      </c>
      <c r="C179" s="15" t="s">
        <v>375</v>
      </c>
      <c r="D179" s="15" t="s">
        <v>161</v>
      </c>
      <c r="E179" s="32" t="s">
        <v>22</v>
      </c>
      <c r="F179" s="33" t="s">
        <v>710</v>
      </c>
      <c r="G179" s="17" t="s">
        <v>711</v>
      </c>
      <c r="H179" s="15" t="s">
        <v>14</v>
      </c>
      <c r="I179" s="15" t="s">
        <v>19</v>
      </c>
      <c r="J179" s="54" t="s">
        <v>4</v>
      </c>
      <c r="L179" s="18" t="s">
        <v>2</v>
      </c>
      <c r="M179" s="19">
        <f t="shared" si="20"/>
        <v>2024</v>
      </c>
      <c r="N179" s="19" t="str">
        <f t="shared" si="21"/>
        <v>07</v>
      </c>
      <c r="O179" s="19">
        <f t="shared" si="22"/>
        <v>26</v>
      </c>
      <c r="P179" s="18" t="str">
        <f t="shared" si="28"/>
        <v>20240726</v>
      </c>
      <c r="Q179" s="20"/>
      <c r="R179" s="18" t="s">
        <v>27</v>
      </c>
      <c r="S179" s="18">
        <f t="shared" ca="1" si="29"/>
        <v>2022</v>
      </c>
      <c r="T179" s="21">
        <f t="shared" ca="1" si="26"/>
        <v>12</v>
      </c>
      <c r="U179" s="21" t="str">
        <f t="shared" ca="1" si="27"/>
        <v>05</v>
      </c>
      <c r="V179" s="21" t="str">
        <f t="shared" ca="1" si="30"/>
        <v>20221205</v>
      </c>
      <c r="Z179" s="29" t="s">
        <v>799</v>
      </c>
    </row>
    <row r="180" spans="1:26" ht="16.350000000000001" customHeight="1" x14ac:dyDescent="0.2">
      <c r="A180" s="14" t="s">
        <v>381</v>
      </c>
      <c r="B180" s="60" t="s">
        <v>382</v>
      </c>
      <c r="C180" s="15" t="s">
        <v>383</v>
      </c>
      <c r="D180" s="15" t="s">
        <v>161</v>
      </c>
      <c r="E180" s="15" t="s">
        <v>22</v>
      </c>
      <c r="F180" s="33" t="s">
        <v>712</v>
      </c>
      <c r="G180" s="17" t="s">
        <v>711</v>
      </c>
      <c r="H180" s="15" t="s">
        <v>14</v>
      </c>
      <c r="I180" s="15" t="s">
        <v>19</v>
      </c>
      <c r="J180" s="54" t="s">
        <v>4</v>
      </c>
      <c r="L180" s="18" t="s">
        <v>2</v>
      </c>
      <c r="M180" s="19">
        <f t="shared" si="20"/>
        <v>2024</v>
      </c>
      <c r="N180" s="19" t="str">
        <f t="shared" si="21"/>
        <v>07</v>
      </c>
      <c r="O180" s="19">
        <f t="shared" si="22"/>
        <v>26</v>
      </c>
      <c r="P180" s="18" t="str">
        <f t="shared" si="28"/>
        <v>20240726</v>
      </c>
      <c r="Q180" s="20"/>
      <c r="R180" s="18" t="s">
        <v>27</v>
      </c>
      <c r="S180" s="18">
        <f t="shared" ca="1" si="29"/>
        <v>2022</v>
      </c>
      <c r="T180" s="21">
        <f t="shared" ca="1" si="26"/>
        <v>12</v>
      </c>
      <c r="U180" s="21" t="str">
        <f t="shared" ca="1" si="27"/>
        <v>05</v>
      </c>
      <c r="V180" s="21" t="str">
        <f t="shared" ca="1" si="30"/>
        <v>20221205</v>
      </c>
      <c r="Z180" s="6" t="s">
        <v>799</v>
      </c>
    </row>
    <row r="181" spans="1:26" ht="16.350000000000001" customHeight="1" x14ac:dyDescent="0.2">
      <c r="A181" s="14" t="s">
        <v>38</v>
      </c>
      <c r="B181" s="60" t="s">
        <v>39</v>
      </c>
      <c r="C181" s="15" t="s">
        <v>40</v>
      </c>
      <c r="D181" s="15" t="s">
        <v>158</v>
      </c>
      <c r="E181" s="15" t="s">
        <v>22</v>
      </c>
      <c r="F181" s="16" t="s">
        <v>714</v>
      </c>
      <c r="G181" s="17" t="s">
        <v>715</v>
      </c>
      <c r="H181" s="15" t="s">
        <v>14</v>
      </c>
      <c r="I181" s="15" t="s">
        <v>23</v>
      </c>
      <c r="J181" s="54" t="s">
        <v>4</v>
      </c>
      <c r="L181" s="18" t="s">
        <v>2</v>
      </c>
      <c r="M181" s="19">
        <f t="shared" si="20"/>
        <v>2024</v>
      </c>
      <c r="N181" s="19" t="str">
        <f t="shared" si="21"/>
        <v>07</v>
      </c>
      <c r="O181" s="19">
        <f t="shared" si="22"/>
        <v>27</v>
      </c>
      <c r="P181" s="18" t="str">
        <f t="shared" si="28"/>
        <v>20240727</v>
      </c>
      <c r="Q181" s="20"/>
      <c r="R181" s="18" t="s">
        <v>27</v>
      </c>
      <c r="S181" s="18">
        <f t="shared" ca="1" si="29"/>
        <v>2022</v>
      </c>
      <c r="T181" s="21">
        <f t="shared" ca="1" si="26"/>
        <v>12</v>
      </c>
      <c r="U181" s="21" t="str">
        <f t="shared" ca="1" si="27"/>
        <v>05</v>
      </c>
      <c r="V181" s="21" t="str">
        <f t="shared" ca="1" si="30"/>
        <v>20221205</v>
      </c>
      <c r="Z181" s="29" t="s">
        <v>799</v>
      </c>
    </row>
    <row r="182" spans="1:26" ht="16.350000000000001" customHeight="1" x14ac:dyDescent="0.2">
      <c r="A182" s="14" t="s">
        <v>215</v>
      </c>
      <c r="B182" s="60" t="s">
        <v>216</v>
      </c>
      <c r="C182" s="15" t="s">
        <v>251</v>
      </c>
      <c r="D182" s="15" t="s">
        <v>161</v>
      </c>
      <c r="E182" s="15" t="s">
        <v>235</v>
      </c>
      <c r="F182" s="33" t="s">
        <v>714</v>
      </c>
      <c r="G182" s="17" t="s">
        <v>715</v>
      </c>
      <c r="H182" s="15" t="s">
        <v>14</v>
      </c>
      <c r="I182" s="15" t="s">
        <v>19</v>
      </c>
      <c r="J182" s="54" t="s">
        <v>4</v>
      </c>
      <c r="L182" s="18" t="s">
        <v>2</v>
      </c>
      <c r="M182" s="19">
        <f t="shared" si="20"/>
        <v>2024</v>
      </c>
      <c r="N182" s="19" t="str">
        <f t="shared" si="21"/>
        <v>07</v>
      </c>
      <c r="O182" s="19">
        <f t="shared" si="22"/>
        <v>27</v>
      </c>
      <c r="P182" s="18" t="str">
        <f t="shared" si="28"/>
        <v>20240727</v>
      </c>
      <c r="Q182" s="20"/>
      <c r="R182" s="18" t="s">
        <v>27</v>
      </c>
      <c r="S182" s="18">
        <f t="shared" ca="1" si="29"/>
        <v>2022</v>
      </c>
      <c r="T182" s="21">
        <f t="shared" ca="1" si="26"/>
        <v>12</v>
      </c>
      <c r="U182" s="21" t="str">
        <f t="shared" ca="1" si="27"/>
        <v>05</v>
      </c>
      <c r="V182" s="21" t="str">
        <f t="shared" ca="1" si="30"/>
        <v>20221205</v>
      </c>
      <c r="Z182" s="6" t="s">
        <v>799</v>
      </c>
    </row>
    <row r="183" spans="1:26" ht="16.350000000000001" customHeight="1" x14ac:dyDescent="0.2">
      <c r="A183" s="14" t="s">
        <v>459</v>
      </c>
      <c r="B183" s="59">
        <v>362114510</v>
      </c>
      <c r="C183" s="15" t="s">
        <v>460</v>
      </c>
      <c r="D183" s="15" t="s">
        <v>461</v>
      </c>
      <c r="E183" s="15" t="s">
        <v>430</v>
      </c>
      <c r="F183" s="16" t="s">
        <v>721</v>
      </c>
      <c r="G183" s="17" t="s">
        <v>722</v>
      </c>
      <c r="H183" s="15" t="s">
        <v>14</v>
      </c>
      <c r="I183" s="15" t="s">
        <v>462</v>
      </c>
      <c r="J183" s="54" t="s">
        <v>463</v>
      </c>
      <c r="L183" s="18" t="s">
        <v>2</v>
      </c>
      <c r="M183" s="19">
        <f t="shared" si="20"/>
        <v>2024</v>
      </c>
      <c r="N183" s="19" t="str">
        <f t="shared" si="21"/>
        <v>07</v>
      </c>
      <c r="O183" s="19">
        <f t="shared" si="22"/>
        <v>28</v>
      </c>
      <c r="P183" s="18" t="str">
        <f t="shared" si="28"/>
        <v>20240728</v>
      </c>
      <c r="Q183" s="20"/>
      <c r="R183" s="18" t="s">
        <v>27</v>
      </c>
      <c r="S183" s="18">
        <f t="shared" ca="1" si="29"/>
        <v>2022</v>
      </c>
      <c r="T183" s="21">
        <f t="shared" ca="1" si="26"/>
        <v>12</v>
      </c>
      <c r="U183" s="21" t="str">
        <f t="shared" ca="1" si="27"/>
        <v>05</v>
      </c>
      <c r="V183" s="21" t="str">
        <f t="shared" ca="1" si="30"/>
        <v>20221205</v>
      </c>
      <c r="Z183" s="29" t="s">
        <v>799</v>
      </c>
    </row>
    <row r="184" spans="1:26" ht="16.350000000000001" customHeight="1" x14ac:dyDescent="0.2">
      <c r="A184" s="14" t="s">
        <v>464</v>
      </c>
      <c r="B184" s="59">
        <v>302117510</v>
      </c>
      <c r="C184" s="15" t="s">
        <v>465</v>
      </c>
      <c r="D184" s="15" t="s">
        <v>468</v>
      </c>
      <c r="E184" s="15" t="s">
        <v>430</v>
      </c>
      <c r="F184" s="16" t="s">
        <v>721</v>
      </c>
      <c r="G184" s="17" t="s">
        <v>722</v>
      </c>
      <c r="H184" s="15" t="s">
        <v>14</v>
      </c>
      <c r="I184" s="15" t="s">
        <v>462</v>
      </c>
      <c r="J184" s="54" t="s">
        <v>463</v>
      </c>
      <c r="L184" s="18" t="s">
        <v>2</v>
      </c>
      <c r="M184" s="19">
        <f t="shared" si="20"/>
        <v>2024</v>
      </c>
      <c r="N184" s="19" t="str">
        <f t="shared" si="21"/>
        <v>07</v>
      </c>
      <c r="O184" s="19">
        <f t="shared" si="22"/>
        <v>28</v>
      </c>
      <c r="P184" s="18" t="str">
        <f t="shared" si="28"/>
        <v>20240728</v>
      </c>
      <c r="Q184" s="20"/>
      <c r="R184" s="18" t="s">
        <v>27</v>
      </c>
      <c r="S184" s="18">
        <f t="shared" ca="1" si="29"/>
        <v>2022</v>
      </c>
      <c r="T184" s="21">
        <f t="shared" ca="1" si="26"/>
        <v>12</v>
      </c>
      <c r="U184" s="21" t="str">
        <f t="shared" ca="1" si="27"/>
        <v>05</v>
      </c>
      <c r="V184" s="21" t="str">
        <f t="shared" ca="1" si="30"/>
        <v>20221205</v>
      </c>
      <c r="Z184" s="6" t="s">
        <v>799</v>
      </c>
    </row>
    <row r="185" spans="1:26" ht="16.350000000000001" customHeight="1" x14ac:dyDescent="0.2">
      <c r="A185" s="14" t="s">
        <v>466</v>
      </c>
      <c r="B185" s="59">
        <v>302120510</v>
      </c>
      <c r="C185" s="15" t="s">
        <v>467</v>
      </c>
      <c r="D185" s="15" t="s">
        <v>468</v>
      </c>
      <c r="E185" s="15" t="s">
        <v>430</v>
      </c>
      <c r="F185" s="16" t="s">
        <v>721</v>
      </c>
      <c r="G185" s="17" t="s">
        <v>722</v>
      </c>
      <c r="H185" s="15" t="s">
        <v>14</v>
      </c>
      <c r="I185" s="15" t="s">
        <v>462</v>
      </c>
      <c r="J185" s="54" t="s">
        <v>463</v>
      </c>
      <c r="L185" s="18" t="s">
        <v>2</v>
      </c>
      <c r="M185" s="19">
        <f t="shared" si="20"/>
        <v>2024</v>
      </c>
      <c r="N185" s="19" t="str">
        <f t="shared" si="21"/>
        <v>07</v>
      </c>
      <c r="O185" s="19">
        <f t="shared" si="22"/>
        <v>28</v>
      </c>
      <c r="P185" s="18" t="str">
        <f t="shared" si="28"/>
        <v>20240728</v>
      </c>
      <c r="Q185" s="20"/>
      <c r="R185" s="18" t="s">
        <v>27</v>
      </c>
      <c r="S185" s="18">
        <f t="shared" ca="1" si="29"/>
        <v>2022</v>
      </c>
      <c r="T185" s="21">
        <f t="shared" ca="1" si="26"/>
        <v>12</v>
      </c>
      <c r="U185" s="21" t="str">
        <f t="shared" ca="1" si="27"/>
        <v>05</v>
      </c>
      <c r="V185" s="21" t="str">
        <f t="shared" ca="1" si="30"/>
        <v>20221205</v>
      </c>
      <c r="Z185" s="29" t="s">
        <v>799</v>
      </c>
    </row>
    <row r="186" spans="1:26" ht="16.350000000000001" customHeight="1" x14ac:dyDescent="0.2">
      <c r="A186" s="34" t="s">
        <v>717</v>
      </c>
      <c r="B186" s="67" t="s">
        <v>718</v>
      </c>
      <c r="C186" s="35" t="s">
        <v>719</v>
      </c>
      <c r="D186" s="15" t="s">
        <v>161</v>
      </c>
      <c r="E186" s="35" t="s">
        <v>720</v>
      </c>
      <c r="F186" s="36" t="s">
        <v>721</v>
      </c>
      <c r="G186" s="37" t="s">
        <v>722</v>
      </c>
      <c r="H186" s="35" t="s">
        <v>14</v>
      </c>
      <c r="I186" s="35" t="s">
        <v>19</v>
      </c>
      <c r="J186" s="58" t="s">
        <v>4</v>
      </c>
      <c r="L186" s="18" t="s">
        <v>2</v>
      </c>
      <c r="M186" s="19">
        <f t="shared" si="20"/>
        <v>2024</v>
      </c>
      <c r="N186" s="19" t="str">
        <f t="shared" si="21"/>
        <v>07</v>
      </c>
      <c r="O186" s="19">
        <f t="shared" si="22"/>
        <v>28</v>
      </c>
      <c r="P186" s="18" t="str">
        <f t="shared" si="28"/>
        <v>20240728</v>
      </c>
      <c r="Q186" s="20"/>
      <c r="R186" s="18" t="s">
        <v>27</v>
      </c>
      <c r="S186" s="18">
        <f t="shared" ca="1" si="29"/>
        <v>2022</v>
      </c>
      <c r="T186" s="21">
        <f t="shared" ca="1" si="26"/>
        <v>12</v>
      </c>
      <c r="U186" s="21" t="str">
        <f t="shared" ca="1" si="27"/>
        <v>05</v>
      </c>
      <c r="V186" s="21" t="str">
        <f t="shared" ca="1" si="30"/>
        <v>20221205</v>
      </c>
      <c r="Z186" s="6" t="s">
        <v>799</v>
      </c>
    </row>
    <row r="187" spans="1:26" ht="16.350000000000001" customHeight="1" x14ac:dyDescent="0.2">
      <c r="A187" s="34" t="s">
        <v>723</v>
      </c>
      <c r="B187" s="66">
        <v>68000350</v>
      </c>
      <c r="C187" s="35" t="s">
        <v>724</v>
      </c>
      <c r="D187" s="15" t="s">
        <v>161</v>
      </c>
      <c r="E187" s="35" t="s">
        <v>10</v>
      </c>
      <c r="F187" s="36" t="s">
        <v>721</v>
      </c>
      <c r="G187" s="37" t="s">
        <v>722</v>
      </c>
      <c r="H187" s="35" t="s">
        <v>14</v>
      </c>
      <c r="I187" s="35" t="s">
        <v>19</v>
      </c>
      <c r="J187" s="58" t="s">
        <v>4</v>
      </c>
      <c r="L187" s="18" t="s">
        <v>2</v>
      </c>
      <c r="M187" s="19">
        <f t="shared" si="20"/>
        <v>2024</v>
      </c>
      <c r="N187" s="19" t="str">
        <f t="shared" si="21"/>
        <v>07</v>
      </c>
      <c r="O187" s="19">
        <f t="shared" si="22"/>
        <v>28</v>
      </c>
      <c r="P187" s="18" t="str">
        <f t="shared" si="28"/>
        <v>20240728</v>
      </c>
      <c r="Q187" s="20"/>
      <c r="R187" s="18" t="s">
        <v>27</v>
      </c>
      <c r="S187" s="18">
        <f t="shared" ca="1" si="29"/>
        <v>2022</v>
      </c>
      <c r="T187" s="21">
        <f t="shared" ca="1" si="26"/>
        <v>12</v>
      </c>
      <c r="U187" s="21" t="str">
        <f t="shared" ca="1" si="27"/>
        <v>05</v>
      </c>
      <c r="V187" s="21" t="str">
        <f t="shared" ca="1" si="30"/>
        <v>20221205</v>
      </c>
      <c r="Z187" s="29" t="s">
        <v>799</v>
      </c>
    </row>
    <row r="188" spans="1:26" ht="16.350000000000001" customHeight="1" x14ac:dyDescent="0.2">
      <c r="A188" s="14" t="s">
        <v>452</v>
      </c>
      <c r="B188" s="60" t="s">
        <v>453</v>
      </c>
      <c r="C188" s="15" t="s">
        <v>129</v>
      </c>
      <c r="D188" s="15" t="s">
        <v>438</v>
      </c>
      <c r="E188" s="15" t="s">
        <v>22</v>
      </c>
      <c r="F188" s="16" t="s">
        <v>454</v>
      </c>
      <c r="G188" s="17" t="s">
        <v>729</v>
      </c>
      <c r="H188" s="15" t="s">
        <v>14</v>
      </c>
      <c r="I188" s="15" t="s">
        <v>439</v>
      </c>
      <c r="J188" s="54" t="s">
        <v>54</v>
      </c>
      <c r="L188" s="18" t="s">
        <v>2</v>
      </c>
      <c r="M188" s="19">
        <f t="shared" si="20"/>
        <v>2024</v>
      </c>
      <c r="N188" s="19" t="str">
        <f t="shared" si="21"/>
        <v>08</v>
      </c>
      <c r="O188" s="19" t="str">
        <f t="shared" si="22"/>
        <v>08</v>
      </c>
      <c r="P188" s="18" t="str">
        <f t="shared" si="28"/>
        <v>20240808</v>
      </c>
      <c r="Q188" s="20"/>
      <c r="R188" s="18" t="s">
        <v>27</v>
      </c>
      <c r="S188" s="18">
        <f t="shared" ca="1" si="29"/>
        <v>2022</v>
      </c>
      <c r="T188" s="21">
        <f t="shared" ca="1" si="26"/>
        <v>12</v>
      </c>
      <c r="U188" s="21" t="str">
        <f t="shared" ca="1" si="27"/>
        <v>05</v>
      </c>
      <c r="V188" s="21" t="str">
        <f t="shared" ca="1" si="30"/>
        <v>20221205</v>
      </c>
      <c r="Z188" s="6" t="s">
        <v>799</v>
      </c>
    </row>
    <row r="189" spans="1:26" ht="16.350000000000001" customHeight="1" x14ac:dyDescent="0.2">
      <c r="A189" s="14" t="s">
        <v>222</v>
      </c>
      <c r="B189" s="60" t="s">
        <v>239</v>
      </c>
      <c r="C189" s="15" t="s">
        <v>223</v>
      </c>
      <c r="D189" s="15" t="s">
        <v>161</v>
      </c>
      <c r="E189" s="60" t="s">
        <v>235</v>
      </c>
      <c r="F189" s="87" t="s">
        <v>454</v>
      </c>
      <c r="G189" s="17" t="s">
        <v>729</v>
      </c>
      <c r="H189" s="15" t="s">
        <v>14</v>
      </c>
      <c r="I189" s="15" t="s">
        <v>13</v>
      </c>
      <c r="J189" s="54" t="s">
        <v>742</v>
      </c>
      <c r="L189" s="18" t="s">
        <v>2</v>
      </c>
      <c r="M189" s="19">
        <f t="shared" si="20"/>
        <v>2024</v>
      </c>
      <c r="N189" s="19" t="str">
        <f t="shared" si="21"/>
        <v>08</v>
      </c>
      <c r="O189" s="19" t="str">
        <f t="shared" si="22"/>
        <v>08</v>
      </c>
      <c r="P189" s="18" t="str">
        <f t="shared" si="28"/>
        <v>20240808</v>
      </c>
      <c r="Q189" s="20"/>
      <c r="R189" s="18" t="s">
        <v>27</v>
      </c>
      <c r="S189" s="18">
        <f t="shared" ca="1" si="29"/>
        <v>2022</v>
      </c>
      <c r="T189" s="21">
        <f t="shared" ca="1" si="26"/>
        <v>12</v>
      </c>
      <c r="U189" s="21" t="str">
        <f t="shared" ca="1" si="27"/>
        <v>05</v>
      </c>
      <c r="V189" s="21" t="str">
        <f t="shared" ca="1" si="30"/>
        <v>20221205</v>
      </c>
      <c r="Z189" s="29" t="s">
        <v>799</v>
      </c>
    </row>
    <row r="190" spans="1:26" ht="16.350000000000001" customHeight="1" x14ac:dyDescent="0.2">
      <c r="A190" s="14" t="s">
        <v>227</v>
      </c>
      <c r="B190" s="60" t="s">
        <v>71</v>
      </c>
      <c r="C190" s="15" t="s">
        <v>255</v>
      </c>
      <c r="D190" s="15" t="s">
        <v>161</v>
      </c>
      <c r="E190" s="15" t="s">
        <v>22</v>
      </c>
      <c r="F190" s="33" t="s">
        <v>454</v>
      </c>
      <c r="G190" s="17" t="s">
        <v>729</v>
      </c>
      <c r="H190" s="15" t="s">
        <v>14</v>
      </c>
      <c r="I190" s="15" t="s">
        <v>13</v>
      </c>
      <c r="J190" s="54" t="s">
        <v>4</v>
      </c>
      <c r="L190" s="18" t="s">
        <v>2</v>
      </c>
      <c r="M190" s="19">
        <f t="shared" si="20"/>
        <v>2024</v>
      </c>
      <c r="N190" s="19" t="str">
        <f t="shared" si="21"/>
        <v>08</v>
      </c>
      <c r="O190" s="19" t="str">
        <f t="shared" si="22"/>
        <v>08</v>
      </c>
      <c r="P190" s="18" t="str">
        <f t="shared" si="28"/>
        <v>20240808</v>
      </c>
      <c r="Q190" s="20"/>
      <c r="R190" s="18" t="s">
        <v>27</v>
      </c>
      <c r="S190" s="18">
        <f t="shared" ca="1" si="29"/>
        <v>2022</v>
      </c>
      <c r="T190" s="21">
        <f t="shared" ca="1" si="26"/>
        <v>12</v>
      </c>
      <c r="U190" s="21" t="str">
        <f t="shared" ca="1" si="27"/>
        <v>05</v>
      </c>
      <c r="V190" s="21" t="str">
        <f t="shared" ca="1" si="30"/>
        <v>20221205</v>
      </c>
      <c r="Z190" s="6" t="s">
        <v>799</v>
      </c>
    </row>
    <row r="191" spans="1:26" ht="16.350000000000001" customHeight="1" x14ac:dyDescent="0.2">
      <c r="A191" s="14" t="s">
        <v>230</v>
      </c>
      <c r="B191" s="60" t="s">
        <v>238</v>
      </c>
      <c r="C191" s="15" t="s">
        <v>231</v>
      </c>
      <c r="D191" s="15" t="s">
        <v>161</v>
      </c>
      <c r="E191" s="15" t="s">
        <v>235</v>
      </c>
      <c r="F191" s="33" t="s">
        <v>454</v>
      </c>
      <c r="G191" s="17" t="s">
        <v>729</v>
      </c>
      <c r="H191" s="15" t="s">
        <v>14</v>
      </c>
      <c r="I191" s="15" t="s">
        <v>13</v>
      </c>
      <c r="J191" s="54" t="s">
        <v>734</v>
      </c>
      <c r="L191" s="18" t="s">
        <v>2</v>
      </c>
      <c r="M191" s="19">
        <f t="shared" si="20"/>
        <v>2024</v>
      </c>
      <c r="N191" s="19" t="str">
        <f t="shared" si="21"/>
        <v>08</v>
      </c>
      <c r="O191" s="19" t="str">
        <f t="shared" si="22"/>
        <v>08</v>
      </c>
      <c r="P191" s="18" t="str">
        <f t="shared" si="28"/>
        <v>20240808</v>
      </c>
      <c r="Q191" s="20"/>
      <c r="R191" s="18" t="s">
        <v>27</v>
      </c>
      <c r="S191" s="18">
        <f t="shared" ca="1" si="29"/>
        <v>2022</v>
      </c>
      <c r="T191" s="21">
        <f t="shared" ca="1" si="26"/>
        <v>12</v>
      </c>
      <c r="U191" s="21" t="str">
        <f t="shared" ca="1" si="27"/>
        <v>05</v>
      </c>
      <c r="V191" s="21" t="str">
        <f t="shared" ca="1" si="30"/>
        <v>20221205</v>
      </c>
      <c r="Z191" s="29" t="s">
        <v>799</v>
      </c>
    </row>
    <row r="192" spans="1:26" ht="16.350000000000001" customHeight="1" x14ac:dyDescent="0.2">
      <c r="A192" s="14" t="s">
        <v>232</v>
      </c>
      <c r="B192" s="60" t="s">
        <v>238</v>
      </c>
      <c r="C192" s="15" t="s">
        <v>231</v>
      </c>
      <c r="D192" s="15" t="s">
        <v>161</v>
      </c>
      <c r="E192" s="15" t="s">
        <v>235</v>
      </c>
      <c r="F192" s="33" t="s">
        <v>454</v>
      </c>
      <c r="G192" s="17" t="s">
        <v>729</v>
      </c>
      <c r="H192" s="15" t="s">
        <v>14</v>
      </c>
      <c r="I192" s="15" t="s">
        <v>13</v>
      </c>
      <c r="J192" s="54" t="s">
        <v>734</v>
      </c>
      <c r="L192" s="18" t="s">
        <v>2</v>
      </c>
      <c r="M192" s="19">
        <f t="shared" si="20"/>
        <v>2024</v>
      </c>
      <c r="N192" s="19" t="str">
        <f t="shared" si="21"/>
        <v>08</v>
      </c>
      <c r="O192" s="19" t="str">
        <f t="shared" si="22"/>
        <v>08</v>
      </c>
      <c r="P192" s="18" t="str">
        <f t="shared" si="28"/>
        <v>20240808</v>
      </c>
      <c r="Q192" s="20"/>
      <c r="R192" s="18" t="s">
        <v>27</v>
      </c>
      <c r="S192" s="18">
        <f t="shared" ca="1" si="29"/>
        <v>2022</v>
      </c>
      <c r="T192" s="21">
        <f t="shared" ca="1" si="26"/>
        <v>12</v>
      </c>
      <c r="U192" s="21" t="str">
        <f t="shared" ca="1" si="27"/>
        <v>05</v>
      </c>
      <c r="V192" s="21" t="str">
        <f t="shared" ca="1" si="30"/>
        <v>20221205</v>
      </c>
      <c r="Z192" s="6" t="s">
        <v>799</v>
      </c>
    </row>
    <row r="193" spans="1:26" ht="16.350000000000001" customHeight="1" x14ac:dyDescent="0.2">
      <c r="A193" s="14" t="s">
        <v>260</v>
      </c>
      <c r="B193" s="60" t="s">
        <v>238</v>
      </c>
      <c r="C193" s="15" t="s">
        <v>397</v>
      </c>
      <c r="D193" s="15" t="s">
        <v>161</v>
      </c>
      <c r="E193" s="15" t="s">
        <v>235</v>
      </c>
      <c r="F193" s="33" t="s">
        <v>454</v>
      </c>
      <c r="G193" s="17" t="s">
        <v>729</v>
      </c>
      <c r="H193" s="15" t="s">
        <v>14</v>
      </c>
      <c r="I193" s="15" t="s">
        <v>13</v>
      </c>
      <c r="J193" s="54" t="s">
        <v>734</v>
      </c>
      <c r="L193" s="18" t="s">
        <v>2</v>
      </c>
      <c r="M193" s="19">
        <f t="shared" ref="M193:M222" si="31">YEAR(G193)</f>
        <v>2024</v>
      </c>
      <c r="N193" s="19" t="str">
        <f t="shared" ref="N193:N222" si="32">IF(MONTH(G193)&lt;10,CONCATENATE(0,MONTH(G193)),MONTH(G193))</f>
        <v>08</v>
      </c>
      <c r="O193" s="19" t="str">
        <f t="shared" ref="O193:O222" si="33">IF(DAY(G193)&lt;10,CONCATENATE(0,DAY(G193)),DAY(G193))</f>
        <v>08</v>
      </c>
      <c r="P193" s="18" t="str">
        <f t="shared" si="28"/>
        <v>20240808</v>
      </c>
      <c r="Q193" s="20"/>
      <c r="R193" s="18" t="s">
        <v>27</v>
      </c>
      <c r="S193" s="18">
        <f t="shared" ca="1" si="29"/>
        <v>2022</v>
      </c>
      <c r="T193" s="21">
        <f t="shared" ca="1" si="26"/>
        <v>12</v>
      </c>
      <c r="U193" s="21" t="str">
        <f t="shared" ca="1" si="27"/>
        <v>05</v>
      </c>
      <c r="V193" s="21" t="str">
        <f t="shared" ca="1" si="30"/>
        <v>20221205</v>
      </c>
      <c r="Z193" s="29" t="s">
        <v>799</v>
      </c>
    </row>
    <row r="194" spans="1:26" ht="16.350000000000001" customHeight="1" x14ac:dyDescent="0.2">
      <c r="A194" s="14" t="s">
        <v>45</v>
      </c>
      <c r="B194" s="60" t="s">
        <v>39</v>
      </c>
      <c r="C194" s="15" t="s">
        <v>40</v>
      </c>
      <c r="D194" s="15" t="s">
        <v>158</v>
      </c>
      <c r="E194" s="15" t="s">
        <v>22</v>
      </c>
      <c r="F194" s="16" t="s">
        <v>730</v>
      </c>
      <c r="G194" s="17" t="s">
        <v>731</v>
      </c>
      <c r="H194" s="15" t="s">
        <v>14</v>
      </c>
      <c r="I194" s="15" t="s">
        <v>110</v>
      </c>
      <c r="J194" s="54" t="s">
        <v>4</v>
      </c>
      <c r="L194" s="18" t="s">
        <v>2</v>
      </c>
      <c r="M194" s="19">
        <f t="shared" si="31"/>
        <v>2024</v>
      </c>
      <c r="N194" s="19" t="str">
        <f t="shared" si="32"/>
        <v>08</v>
      </c>
      <c r="O194" s="19" t="str">
        <f t="shared" si="33"/>
        <v>09</v>
      </c>
      <c r="P194" s="18" t="str">
        <f t="shared" si="28"/>
        <v>20240809</v>
      </c>
      <c r="Q194" s="20"/>
      <c r="R194" s="18" t="s">
        <v>27</v>
      </c>
      <c r="S194" s="18">
        <f t="shared" ca="1" si="29"/>
        <v>2022</v>
      </c>
      <c r="T194" s="21">
        <f t="shared" ca="1" si="26"/>
        <v>12</v>
      </c>
      <c r="U194" s="21" t="str">
        <f t="shared" ca="1" si="27"/>
        <v>05</v>
      </c>
      <c r="V194" s="21" t="str">
        <f t="shared" ca="1" si="30"/>
        <v>20221205</v>
      </c>
      <c r="Z194" s="6" t="s">
        <v>799</v>
      </c>
    </row>
    <row r="195" spans="1:26" ht="16.350000000000001" customHeight="1" x14ac:dyDescent="0.2">
      <c r="A195" s="14" t="s">
        <v>376</v>
      </c>
      <c r="B195" s="59">
        <v>1025320</v>
      </c>
      <c r="C195" s="15" t="s">
        <v>129</v>
      </c>
      <c r="D195" s="15" t="s">
        <v>161</v>
      </c>
      <c r="E195" s="32" t="s">
        <v>22</v>
      </c>
      <c r="F195" s="33" t="s">
        <v>730</v>
      </c>
      <c r="G195" s="17" t="s">
        <v>731</v>
      </c>
      <c r="H195" s="15" t="s">
        <v>14</v>
      </c>
      <c r="I195" s="15" t="s">
        <v>13</v>
      </c>
      <c r="J195" s="54" t="s">
        <v>4</v>
      </c>
      <c r="L195" s="18" t="s">
        <v>2</v>
      </c>
      <c r="M195" s="19">
        <f t="shared" si="31"/>
        <v>2024</v>
      </c>
      <c r="N195" s="19" t="str">
        <f t="shared" si="32"/>
        <v>08</v>
      </c>
      <c r="O195" s="19" t="str">
        <f t="shared" si="33"/>
        <v>09</v>
      </c>
      <c r="P195" s="18" t="str">
        <f t="shared" si="28"/>
        <v>20240809</v>
      </c>
      <c r="Q195" s="20"/>
      <c r="R195" s="18" t="s">
        <v>27</v>
      </c>
      <c r="S195" s="18">
        <f t="shared" ca="1" si="29"/>
        <v>2022</v>
      </c>
      <c r="T195" s="21">
        <f t="shared" ca="1" si="26"/>
        <v>12</v>
      </c>
      <c r="U195" s="21" t="str">
        <f t="shared" ca="1" si="27"/>
        <v>05</v>
      </c>
      <c r="V195" s="21" t="str">
        <f t="shared" ca="1" si="30"/>
        <v>20221205</v>
      </c>
      <c r="Z195" s="29" t="s">
        <v>799</v>
      </c>
    </row>
    <row r="196" spans="1:26" ht="16.350000000000001" customHeight="1" x14ac:dyDescent="0.2">
      <c r="A196" s="14" t="s">
        <v>377</v>
      </c>
      <c r="B196" s="59">
        <v>1025271</v>
      </c>
      <c r="C196" s="15" t="s">
        <v>134</v>
      </c>
      <c r="D196" s="15" t="s">
        <v>161</v>
      </c>
      <c r="E196" s="32" t="s">
        <v>22</v>
      </c>
      <c r="F196" s="33" t="s">
        <v>730</v>
      </c>
      <c r="G196" s="17" t="s">
        <v>731</v>
      </c>
      <c r="H196" s="15" t="s">
        <v>14</v>
      </c>
      <c r="I196" s="15" t="s">
        <v>13</v>
      </c>
      <c r="J196" s="54" t="s">
        <v>4</v>
      </c>
      <c r="L196" s="18" t="s">
        <v>2</v>
      </c>
      <c r="M196" s="19">
        <f t="shared" si="31"/>
        <v>2024</v>
      </c>
      <c r="N196" s="19" t="str">
        <f t="shared" si="32"/>
        <v>08</v>
      </c>
      <c r="O196" s="19" t="str">
        <f t="shared" si="33"/>
        <v>09</v>
      </c>
      <c r="P196" s="18" t="str">
        <f t="shared" si="28"/>
        <v>20240809</v>
      </c>
      <c r="Q196" s="20"/>
      <c r="R196" s="18" t="s">
        <v>27</v>
      </c>
      <c r="S196" s="18">
        <f t="shared" ca="1" si="29"/>
        <v>2022</v>
      </c>
      <c r="T196" s="21">
        <f t="shared" ca="1" si="26"/>
        <v>12</v>
      </c>
      <c r="U196" s="21" t="str">
        <f t="shared" ca="1" si="27"/>
        <v>05</v>
      </c>
      <c r="V196" s="21" t="str">
        <f t="shared" ca="1" si="30"/>
        <v>20221205</v>
      </c>
      <c r="Z196" s="6" t="s">
        <v>799</v>
      </c>
    </row>
    <row r="197" spans="1:26" ht="16.350000000000001" customHeight="1" x14ac:dyDescent="0.2">
      <c r="A197" s="14" t="s">
        <v>378</v>
      </c>
      <c r="B197" s="60" t="s">
        <v>379</v>
      </c>
      <c r="C197" s="15" t="s">
        <v>380</v>
      </c>
      <c r="D197" s="15" t="s">
        <v>161</v>
      </c>
      <c r="E197" s="32" t="s">
        <v>22</v>
      </c>
      <c r="F197" s="33" t="s">
        <v>730</v>
      </c>
      <c r="G197" s="17" t="s">
        <v>731</v>
      </c>
      <c r="H197" s="15" t="s">
        <v>14</v>
      </c>
      <c r="I197" s="15" t="s">
        <v>19</v>
      </c>
      <c r="J197" s="54" t="s">
        <v>4</v>
      </c>
      <c r="L197" s="18" t="s">
        <v>2</v>
      </c>
      <c r="M197" s="19">
        <f t="shared" si="31"/>
        <v>2024</v>
      </c>
      <c r="N197" s="19" t="str">
        <f t="shared" si="32"/>
        <v>08</v>
      </c>
      <c r="O197" s="19" t="str">
        <f t="shared" si="33"/>
        <v>09</v>
      </c>
      <c r="P197" s="18" t="str">
        <f t="shared" si="28"/>
        <v>20240809</v>
      </c>
      <c r="Q197" s="20"/>
      <c r="R197" s="18" t="s">
        <v>27</v>
      </c>
      <c r="S197" s="18">
        <f t="shared" ca="1" si="29"/>
        <v>2022</v>
      </c>
      <c r="T197" s="21">
        <f t="shared" ca="1" si="26"/>
        <v>12</v>
      </c>
      <c r="U197" s="21" t="str">
        <f t="shared" ca="1" si="27"/>
        <v>05</v>
      </c>
      <c r="V197" s="21" t="str">
        <f t="shared" ca="1" si="30"/>
        <v>20221205</v>
      </c>
      <c r="Z197" s="29" t="s">
        <v>799</v>
      </c>
    </row>
    <row r="198" spans="1:26" ht="16.350000000000001" customHeight="1" x14ac:dyDescent="0.2">
      <c r="A198" s="14" t="s">
        <v>358</v>
      </c>
      <c r="B198" s="60" t="s">
        <v>359</v>
      </c>
      <c r="C198" s="15" t="s">
        <v>360</v>
      </c>
      <c r="D198" s="15" t="s">
        <v>161</v>
      </c>
      <c r="E198" s="32" t="s">
        <v>22</v>
      </c>
      <c r="F198" s="33" t="s">
        <v>737</v>
      </c>
      <c r="G198" s="17" t="s">
        <v>738</v>
      </c>
      <c r="H198" s="32" t="s">
        <v>14</v>
      </c>
      <c r="I198" s="15" t="s">
        <v>13</v>
      </c>
      <c r="J198" s="54" t="s">
        <v>743</v>
      </c>
      <c r="L198" s="18" t="s">
        <v>2</v>
      </c>
      <c r="M198" s="19">
        <f t="shared" si="31"/>
        <v>2024</v>
      </c>
      <c r="N198" s="19" t="str">
        <f t="shared" si="32"/>
        <v>09</v>
      </c>
      <c r="O198" s="19" t="str">
        <f t="shared" si="33"/>
        <v>08</v>
      </c>
      <c r="P198" s="18" t="str">
        <f t="shared" si="28"/>
        <v>20240908</v>
      </c>
      <c r="Q198" s="20"/>
      <c r="R198" s="18" t="s">
        <v>27</v>
      </c>
      <c r="S198" s="18">
        <f t="shared" ca="1" si="29"/>
        <v>2022</v>
      </c>
      <c r="T198" s="21">
        <f t="shared" ca="1" si="26"/>
        <v>12</v>
      </c>
      <c r="U198" s="21" t="str">
        <f t="shared" ca="1" si="27"/>
        <v>05</v>
      </c>
      <c r="V198" s="21" t="str">
        <f t="shared" ca="1" si="30"/>
        <v>20221205</v>
      </c>
      <c r="Z198" s="6" t="s">
        <v>799</v>
      </c>
    </row>
    <row r="199" spans="1:26" ht="16.350000000000001" customHeight="1" x14ac:dyDescent="0.2">
      <c r="A199" s="14" t="s">
        <v>371</v>
      </c>
      <c r="B199" s="59">
        <v>5268572</v>
      </c>
      <c r="C199" s="15" t="s">
        <v>372</v>
      </c>
      <c r="D199" s="15" t="s">
        <v>161</v>
      </c>
      <c r="E199" s="15" t="s">
        <v>22</v>
      </c>
      <c r="F199" s="33" t="s">
        <v>737</v>
      </c>
      <c r="G199" s="17" t="s">
        <v>738</v>
      </c>
      <c r="H199" s="15" t="s">
        <v>14</v>
      </c>
      <c r="I199" s="15" t="s">
        <v>13</v>
      </c>
      <c r="J199" s="54" t="s">
        <v>4</v>
      </c>
      <c r="L199" s="18" t="s">
        <v>2</v>
      </c>
      <c r="M199" s="19">
        <f t="shared" si="31"/>
        <v>2024</v>
      </c>
      <c r="N199" s="19" t="str">
        <f t="shared" si="32"/>
        <v>09</v>
      </c>
      <c r="O199" s="19" t="str">
        <f t="shared" si="33"/>
        <v>08</v>
      </c>
      <c r="P199" s="18" t="str">
        <f t="shared" si="28"/>
        <v>20240908</v>
      </c>
      <c r="Q199" s="20"/>
      <c r="R199" s="18" t="s">
        <v>27</v>
      </c>
      <c r="S199" s="18">
        <f t="shared" ca="1" si="29"/>
        <v>2022</v>
      </c>
      <c r="T199" s="21">
        <f t="shared" ca="1" si="26"/>
        <v>12</v>
      </c>
      <c r="U199" s="21" t="str">
        <f t="shared" ca="1" si="27"/>
        <v>05</v>
      </c>
      <c r="V199" s="21" t="str">
        <f t="shared" ca="1" si="30"/>
        <v>20221205</v>
      </c>
      <c r="Z199" s="29" t="s">
        <v>799</v>
      </c>
    </row>
    <row r="200" spans="1:26" ht="16.350000000000001" customHeight="1" x14ac:dyDescent="0.2">
      <c r="A200" s="14" t="s">
        <v>30</v>
      </c>
      <c r="B200" s="59">
        <v>1025508</v>
      </c>
      <c r="C200" s="15" t="s">
        <v>31</v>
      </c>
      <c r="D200" s="15" t="s">
        <v>158</v>
      </c>
      <c r="E200" s="15" t="s">
        <v>22</v>
      </c>
      <c r="F200" s="16">
        <v>44816</v>
      </c>
      <c r="G200" s="17" t="s">
        <v>739</v>
      </c>
      <c r="H200" s="15" t="s">
        <v>14</v>
      </c>
      <c r="I200" s="15" t="s">
        <v>32</v>
      </c>
      <c r="J200" s="54" t="s">
        <v>659</v>
      </c>
      <c r="L200" s="18" t="s">
        <v>2</v>
      </c>
      <c r="M200" s="19">
        <f t="shared" si="31"/>
        <v>2024</v>
      </c>
      <c r="N200" s="19" t="str">
        <f t="shared" si="32"/>
        <v>09</v>
      </c>
      <c r="O200" s="19">
        <f t="shared" si="33"/>
        <v>12</v>
      </c>
      <c r="P200" s="18" t="str">
        <f t="shared" si="28"/>
        <v>20240912</v>
      </c>
      <c r="Q200" s="20"/>
      <c r="R200" s="18" t="s">
        <v>27</v>
      </c>
      <c r="S200" s="18">
        <f t="shared" ca="1" si="29"/>
        <v>2022</v>
      </c>
      <c r="T200" s="21">
        <f t="shared" ca="1" si="26"/>
        <v>12</v>
      </c>
      <c r="U200" s="21" t="str">
        <f t="shared" ca="1" si="27"/>
        <v>05</v>
      </c>
      <c r="V200" s="21" t="str">
        <f t="shared" ca="1" si="30"/>
        <v>20221205</v>
      </c>
      <c r="Z200" s="6" t="s">
        <v>799</v>
      </c>
    </row>
    <row r="201" spans="1:26" ht="16.350000000000001" customHeight="1" x14ac:dyDescent="0.2">
      <c r="A201" s="14" t="s">
        <v>79</v>
      </c>
      <c r="B201" s="60" t="s">
        <v>77</v>
      </c>
      <c r="C201" s="15" t="s">
        <v>78</v>
      </c>
      <c r="D201" s="15" t="s">
        <v>158</v>
      </c>
      <c r="E201" s="15" t="s">
        <v>22</v>
      </c>
      <c r="F201" s="16" t="s">
        <v>746</v>
      </c>
      <c r="G201" s="17" t="s">
        <v>741</v>
      </c>
      <c r="H201" s="15" t="s">
        <v>14</v>
      </c>
      <c r="I201" s="15" t="s">
        <v>19</v>
      </c>
      <c r="J201" s="54" t="s">
        <v>748</v>
      </c>
      <c r="L201" s="18" t="s">
        <v>2</v>
      </c>
      <c r="M201" s="19">
        <f t="shared" si="31"/>
        <v>2024</v>
      </c>
      <c r="N201" s="19" t="str">
        <f t="shared" si="32"/>
        <v>09</v>
      </c>
      <c r="O201" s="19">
        <f t="shared" si="33"/>
        <v>23</v>
      </c>
      <c r="P201" s="18" t="str">
        <f t="shared" si="28"/>
        <v>20240923</v>
      </c>
      <c r="Q201" s="20"/>
      <c r="R201" s="18" t="s">
        <v>27</v>
      </c>
      <c r="S201" s="18">
        <f t="shared" ca="1" si="29"/>
        <v>2022</v>
      </c>
      <c r="T201" s="21">
        <f t="shared" ca="1" si="26"/>
        <v>12</v>
      </c>
      <c r="U201" s="21" t="str">
        <f t="shared" ca="1" si="27"/>
        <v>05</v>
      </c>
      <c r="V201" s="21" t="str">
        <f t="shared" ca="1" si="30"/>
        <v>20221205</v>
      </c>
      <c r="Z201" s="29" t="s">
        <v>799</v>
      </c>
    </row>
    <row r="202" spans="1:26" ht="16.350000000000001" customHeight="1" x14ac:dyDescent="0.2">
      <c r="A202" s="14" t="s">
        <v>80</v>
      </c>
      <c r="B202" s="60" t="s">
        <v>77</v>
      </c>
      <c r="C202" s="15" t="s">
        <v>78</v>
      </c>
      <c r="D202" s="15" t="s">
        <v>158</v>
      </c>
      <c r="E202" s="15" t="s">
        <v>22</v>
      </c>
      <c r="F202" s="16" t="s">
        <v>746</v>
      </c>
      <c r="G202" s="17" t="s">
        <v>741</v>
      </c>
      <c r="H202" s="15" t="s">
        <v>14</v>
      </c>
      <c r="I202" s="15" t="s">
        <v>19</v>
      </c>
      <c r="J202" s="54" t="s">
        <v>749</v>
      </c>
      <c r="L202" s="18" t="s">
        <v>2</v>
      </c>
      <c r="M202" s="19">
        <f t="shared" si="31"/>
        <v>2024</v>
      </c>
      <c r="N202" s="19" t="str">
        <f t="shared" si="32"/>
        <v>09</v>
      </c>
      <c r="O202" s="19">
        <f t="shared" si="33"/>
        <v>23</v>
      </c>
      <c r="P202" s="18" t="str">
        <f t="shared" si="28"/>
        <v>20240923</v>
      </c>
      <c r="Q202" s="20"/>
      <c r="R202" s="18" t="s">
        <v>27</v>
      </c>
      <c r="S202" s="18">
        <f t="shared" ca="1" si="29"/>
        <v>2022</v>
      </c>
      <c r="T202" s="21">
        <f t="shared" ca="1" si="26"/>
        <v>12</v>
      </c>
      <c r="U202" s="21" t="str">
        <f t="shared" ca="1" si="27"/>
        <v>05</v>
      </c>
      <c r="V202" s="21" t="str">
        <f t="shared" ca="1" si="30"/>
        <v>20221205</v>
      </c>
      <c r="Z202" s="6" t="s">
        <v>799</v>
      </c>
    </row>
    <row r="203" spans="1:26" ht="16.350000000000001" customHeight="1" x14ac:dyDescent="0.2">
      <c r="A203" s="14" t="s">
        <v>159</v>
      </c>
      <c r="B203" s="59" t="s">
        <v>740</v>
      </c>
      <c r="C203" s="15" t="s">
        <v>160</v>
      </c>
      <c r="D203" s="15" t="s">
        <v>161</v>
      </c>
      <c r="E203" s="15" t="s">
        <v>22</v>
      </c>
      <c r="F203" s="16">
        <v>44827</v>
      </c>
      <c r="G203" s="17" t="s">
        <v>741</v>
      </c>
      <c r="H203" s="15" t="s">
        <v>14</v>
      </c>
      <c r="I203" s="15" t="s">
        <v>13</v>
      </c>
      <c r="J203" s="54" t="s">
        <v>162</v>
      </c>
      <c r="L203" s="18" t="s">
        <v>2</v>
      </c>
      <c r="M203" s="19">
        <f t="shared" si="31"/>
        <v>2024</v>
      </c>
      <c r="N203" s="19" t="str">
        <f t="shared" si="32"/>
        <v>09</v>
      </c>
      <c r="O203" s="19">
        <f t="shared" si="33"/>
        <v>23</v>
      </c>
      <c r="P203" s="18" t="str">
        <f t="shared" si="28"/>
        <v>20240923</v>
      </c>
      <c r="Q203" s="20"/>
      <c r="R203" s="18" t="s">
        <v>27</v>
      </c>
      <c r="S203" s="18">
        <f t="shared" ca="1" si="29"/>
        <v>2022</v>
      </c>
      <c r="T203" s="21">
        <f t="shared" ca="1" si="26"/>
        <v>12</v>
      </c>
      <c r="U203" s="21" t="str">
        <f t="shared" ca="1" si="27"/>
        <v>05</v>
      </c>
      <c r="V203" s="21" t="str">
        <f t="shared" ca="1" si="30"/>
        <v>20221205</v>
      </c>
      <c r="Z203" s="29" t="s">
        <v>799</v>
      </c>
    </row>
    <row r="204" spans="1:26" ht="16.350000000000001" customHeight="1" x14ac:dyDescent="0.2">
      <c r="A204" s="14" t="s">
        <v>441</v>
      </c>
      <c r="B204" s="59">
        <v>58900196</v>
      </c>
      <c r="C204" s="15" t="s">
        <v>442</v>
      </c>
      <c r="D204" s="15" t="s">
        <v>438</v>
      </c>
      <c r="E204" s="15" t="s">
        <v>10</v>
      </c>
      <c r="F204" s="16" t="s">
        <v>744</v>
      </c>
      <c r="G204" s="17" t="s">
        <v>745</v>
      </c>
      <c r="H204" s="15" t="s">
        <v>14</v>
      </c>
      <c r="I204" s="15" t="s">
        <v>439</v>
      </c>
      <c r="J204" s="54" t="s">
        <v>443</v>
      </c>
      <c r="L204" s="18" t="s">
        <v>2</v>
      </c>
      <c r="M204" s="19">
        <f t="shared" si="31"/>
        <v>2024</v>
      </c>
      <c r="N204" s="19" t="str">
        <f t="shared" si="32"/>
        <v>09</v>
      </c>
      <c r="O204" s="19">
        <f t="shared" si="33"/>
        <v>26</v>
      </c>
      <c r="P204" s="18" t="str">
        <f t="shared" si="28"/>
        <v>20240926</v>
      </c>
      <c r="Q204" s="20"/>
      <c r="R204" s="18" t="s">
        <v>27</v>
      </c>
      <c r="S204" s="18">
        <f t="shared" ca="1" si="29"/>
        <v>2022</v>
      </c>
      <c r="T204" s="21">
        <f t="shared" ca="1" si="26"/>
        <v>12</v>
      </c>
      <c r="U204" s="21" t="str">
        <f t="shared" ca="1" si="27"/>
        <v>05</v>
      </c>
      <c r="V204" s="21" t="str">
        <f t="shared" ca="1" si="30"/>
        <v>20221205</v>
      </c>
      <c r="Z204" s="6" t="s">
        <v>799</v>
      </c>
    </row>
    <row r="205" spans="1:26" ht="16.350000000000001" customHeight="1" x14ac:dyDescent="0.2">
      <c r="A205" s="14" t="s">
        <v>444</v>
      </c>
      <c r="B205" s="59">
        <v>58900196</v>
      </c>
      <c r="C205" s="15" t="s">
        <v>442</v>
      </c>
      <c r="D205" s="15" t="s">
        <v>438</v>
      </c>
      <c r="E205" s="15" t="s">
        <v>10</v>
      </c>
      <c r="F205" s="16" t="s">
        <v>744</v>
      </c>
      <c r="G205" s="17" t="s">
        <v>745</v>
      </c>
      <c r="H205" s="15" t="s">
        <v>14</v>
      </c>
      <c r="I205" s="15" t="s">
        <v>439</v>
      </c>
      <c r="J205" s="54" t="s">
        <v>445</v>
      </c>
      <c r="L205" s="18" t="s">
        <v>2</v>
      </c>
      <c r="M205" s="19">
        <f t="shared" si="31"/>
        <v>2024</v>
      </c>
      <c r="N205" s="19" t="str">
        <f t="shared" si="32"/>
        <v>09</v>
      </c>
      <c r="O205" s="19">
        <f t="shared" si="33"/>
        <v>26</v>
      </c>
      <c r="P205" s="18" t="str">
        <f t="shared" si="28"/>
        <v>20240926</v>
      </c>
      <c r="Q205" s="20"/>
      <c r="R205" s="18" t="s">
        <v>27</v>
      </c>
      <c r="S205" s="18">
        <f t="shared" ca="1" si="29"/>
        <v>2022</v>
      </c>
      <c r="T205" s="21">
        <f t="shared" ca="1" si="26"/>
        <v>12</v>
      </c>
      <c r="U205" s="21" t="str">
        <f t="shared" ca="1" si="27"/>
        <v>05</v>
      </c>
      <c r="V205" s="21" t="str">
        <f t="shared" ca="1" si="30"/>
        <v>20221205</v>
      </c>
      <c r="Z205" s="29" t="s">
        <v>799</v>
      </c>
    </row>
    <row r="206" spans="1:26" ht="16.350000000000001" customHeight="1" x14ac:dyDescent="0.2">
      <c r="A206" s="14" t="s">
        <v>58</v>
      </c>
      <c r="B206" s="60" t="s">
        <v>59</v>
      </c>
      <c r="C206" s="15" t="s">
        <v>60</v>
      </c>
      <c r="D206" s="15" t="s">
        <v>482</v>
      </c>
      <c r="E206" s="15" t="s">
        <v>22</v>
      </c>
      <c r="F206" s="16" t="s">
        <v>744</v>
      </c>
      <c r="G206" s="17" t="s">
        <v>745</v>
      </c>
      <c r="H206" s="15" t="s">
        <v>14</v>
      </c>
      <c r="I206" s="15" t="s">
        <v>19</v>
      </c>
      <c r="J206" s="54" t="s">
        <v>61</v>
      </c>
      <c r="L206" s="18" t="s">
        <v>2</v>
      </c>
      <c r="M206" s="19">
        <f t="shared" si="31"/>
        <v>2024</v>
      </c>
      <c r="N206" s="19" t="str">
        <f t="shared" si="32"/>
        <v>09</v>
      </c>
      <c r="O206" s="19">
        <f t="shared" si="33"/>
        <v>26</v>
      </c>
      <c r="P206" s="18" t="str">
        <f t="shared" si="28"/>
        <v>20240926</v>
      </c>
      <c r="Q206" s="20"/>
      <c r="R206" s="18" t="s">
        <v>27</v>
      </c>
      <c r="S206" s="18">
        <f t="shared" ca="1" si="29"/>
        <v>2022</v>
      </c>
      <c r="T206" s="21">
        <f t="shared" ca="1" si="26"/>
        <v>12</v>
      </c>
      <c r="U206" s="21" t="str">
        <f t="shared" ca="1" si="27"/>
        <v>05</v>
      </c>
      <c r="V206" s="21" t="str">
        <f t="shared" ca="1" si="30"/>
        <v>20221205</v>
      </c>
      <c r="Z206" s="6" t="s">
        <v>799</v>
      </c>
    </row>
    <row r="207" spans="1:26" ht="16.350000000000001" customHeight="1" x14ac:dyDescent="0.2">
      <c r="A207" s="14" t="s">
        <v>76</v>
      </c>
      <c r="B207" s="60" t="s">
        <v>77</v>
      </c>
      <c r="C207" s="15" t="s">
        <v>78</v>
      </c>
      <c r="D207" s="15" t="s">
        <v>158</v>
      </c>
      <c r="E207" s="15" t="s">
        <v>22</v>
      </c>
      <c r="F207" s="16" t="s">
        <v>744</v>
      </c>
      <c r="G207" s="17" t="s">
        <v>745</v>
      </c>
      <c r="H207" s="15" t="s">
        <v>14</v>
      </c>
      <c r="I207" s="15" t="s">
        <v>19</v>
      </c>
      <c r="J207" s="54" t="s">
        <v>747</v>
      </c>
      <c r="L207" s="18" t="s">
        <v>2</v>
      </c>
      <c r="M207" s="19">
        <f t="shared" si="31"/>
        <v>2024</v>
      </c>
      <c r="N207" s="19" t="str">
        <f t="shared" si="32"/>
        <v>09</v>
      </c>
      <c r="O207" s="19">
        <f t="shared" si="33"/>
        <v>26</v>
      </c>
      <c r="P207" s="18" t="str">
        <f t="shared" si="28"/>
        <v>20240926</v>
      </c>
      <c r="Q207" s="20"/>
      <c r="R207" s="18" t="s">
        <v>27</v>
      </c>
      <c r="S207" s="18">
        <f t="shared" ca="1" si="29"/>
        <v>2022</v>
      </c>
      <c r="T207" s="21">
        <f t="shared" ca="1" si="26"/>
        <v>12</v>
      </c>
      <c r="U207" s="21" t="str">
        <f t="shared" ca="1" si="27"/>
        <v>05</v>
      </c>
      <c r="V207" s="21" t="str">
        <f t="shared" ca="1" si="30"/>
        <v>20221205</v>
      </c>
      <c r="Z207" s="29" t="s">
        <v>799</v>
      </c>
    </row>
    <row r="208" spans="1:26" ht="16.350000000000001" customHeight="1" x14ac:dyDescent="0.2">
      <c r="A208" s="14" t="s">
        <v>81</v>
      </c>
      <c r="B208" s="60" t="s">
        <v>77</v>
      </c>
      <c r="C208" s="15" t="s">
        <v>78</v>
      </c>
      <c r="D208" s="15" t="s">
        <v>158</v>
      </c>
      <c r="E208" s="15" t="s">
        <v>22</v>
      </c>
      <c r="F208" s="16" t="s">
        <v>744</v>
      </c>
      <c r="G208" s="17" t="s">
        <v>745</v>
      </c>
      <c r="H208" s="15" t="s">
        <v>14</v>
      </c>
      <c r="I208" s="15" t="s">
        <v>19</v>
      </c>
      <c r="J208" s="54" t="s">
        <v>750</v>
      </c>
      <c r="L208" s="18" t="s">
        <v>2</v>
      </c>
      <c r="M208" s="19">
        <f t="shared" si="31"/>
        <v>2024</v>
      </c>
      <c r="N208" s="19" t="str">
        <f t="shared" si="32"/>
        <v>09</v>
      </c>
      <c r="O208" s="19">
        <f t="shared" si="33"/>
        <v>26</v>
      </c>
      <c r="P208" s="18" t="str">
        <f t="shared" si="28"/>
        <v>20240926</v>
      </c>
      <c r="Q208" s="20"/>
      <c r="R208" s="18" t="s">
        <v>27</v>
      </c>
      <c r="S208" s="18">
        <f t="shared" ca="1" si="29"/>
        <v>2022</v>
      </c>
      <c r="T208" s="21">
        <f t="shared" ca="1" si="26"/>
        <v>12</v>
      </c>
      <c r="U208" s="21" t="str">
        <f t="shared" ca="1" si="27"/>
        <v>05</v>
      </c>
      <c r="V208" s="21" t="str">
        <f t="shared" ca="1" si="30"/>
        <v>20221205</v>
      </c>
      <c r="Z208" s="6" t="s">
        <v>799</v>
      </c>
    </row>
    <row r="209" spans="1:26" ht="16.350000000000001" customHeight="1" x14ac:dyDescent="0.2">
      <c r="A209" s="14" t="s">
        <v>202</v>
      </c>
      <c r="B209" s="60" t="s">
        <v>203</v>
      </c>
      <c r="C209" s="15" t="s">
        <v>204</v>
      </c>
      <c r="D209" s="15" t="s">
        <v>161</v>
      </c>
      <c r="E209" s="15" t="s">
        <v>22</v>
      </c>
      <c r="F209" s="16" t="s">
        <v>755</v>
      </c>
      <c r="G209" s="17" t="s">
        <v>754</v>
      </c>
      <c r="H209" s="15" t="s">
        <v>14</v>
      </c>
      <c r="I209" s="15" t="s">
        <v>19</v>
      </c>
      <c r="J209" s="54" t="s">
        <v>4</v>
      </c>
      <c r="L209" s="18" t="s">
        <v>2</v>
      </c>
      <c r="M209" s="19">
        <f t="shared" si="31"/>
        <v>2024</v>
      </c>
      <c r="N209" s="19">
        <f t="shared" si="32"/>
        <v>10</v>
      </c>
      <c r="O209" s="19" t="str">
        <f t="shared" si="33"/>
        <v>03</v>
      </c>
      <c r="P209" s="18" t="str">
        <f t="shared" si="28"/>
        <v>20241003</v>
      </c>
      <c r="Q209" s="20"/>
      <c r="R209" s="18" t="s">
        <v>27</v>
      </c>
      <c r="S209" s="18">
        <f t="shared" ca="1" si="29"/>
        <v>2022</v>
      </c>
      <c r="T209" s="21">
        <f t="shared" ca="1" si="26"/>
        <v>12</v>
      </c>
      <c r="U209" s="21" t="str">
        <f t="shared" ca="1" si="27"/>
        <v>05</v>
      </c>
      <c r="V209" s="21" t="str">
        <f t="shared" ca="1" si="30"/>
        <v>20221205</v>
      </c>
      <c r="Z209" s="81" t="s">
        <v>799</v>
      </c>
    </row>
    <row r="210" spans="1:26" ht="16.350000000000001" customHeight="1" x14ac:dyDescent="0.2">
      <c r="A210" s="14" t="s">
        <v>205</v>
      </c>
      <c r="B210" s="60" t="s">
        <v>206</v>
      </c>
      <c r="C210" s="15" t="s">
        <v>207</v>
      </c>
      <c r="D210" s="15" t="s">
        <v>161</v>
      </c>
      <c r="E210" s="15" t="s">
        <v>22</v>
      </c>
      <c r="F210" s="16" t="s">
        <v>755</v>
      </c>
      <c r="G210" s="17" t="s">
        <v>754</v>
      </c>
      <c r="H210" s="15" t="s">
        <v>14</v>
      </c>
      <c r="I210" s="15" t="s">
        <v>19</v>
      </c>
      <c r="J210" s="54" t="s">
        <v>4</v>
      </c>
      <c r="L210" s="18" t="s">
        <v>2</v>
      </c>
      <c r="M210" s="19">
        <f t="shared" si="31"/>
        <v>2024</v>
      </c>
      <c r="N210" s="19">
        <f t="shared" si="32"/>
        <v>10</v>
      </c>
      <c r="O210" s="19" t="str">
        <f t="shared" si="33"/>
        <v>03</v>
      </c>
      <c r="P210" s="18" t="str">
        <f t="shared" si="28"/>
        <v>20241003</v>
      </c>
      <c r="Q210" s="20"/>
      <c r="R210" s="18" t="s">
        <v>27</v>
      </c>
      <c r="S210" s="18">
        <f t="shared" ca="1" si="29"/>
        <v>2022</v>
      </c>
      <c r="T210" s="21">
        <f t="shared" ca="1" si="26"/>
        <v>12</v>
      </c>
      <c r="U210" s="21" t="str">
        <f t="shared" ca="1" si="27"/>
        <v>05</v>
      </c>
      <c r="V210" s="21" t="str">
        <f t="shared" ca="1" si="30"/>
        <v>20221205</v>
      </c>
      <c r="Z210" s="6" t="s">
        <v>799</v>
      </c>
    </row>
    <row r="211" spans="1:26" ht="16.350000000000001" customHeight="1" x14ac:dyDescent="0.2">
      <c r="A211" s="14" t="s">
        <v>290</v>
      </c>
      <c r="B211" s="60" t="s">
        <v>406</v>
      </c>
      <c r="C211" s="15" t="s">
        <v>291</v>
      </c>
      <c r="D211" s="15" t="s">
        <v>161</v>
      </c>
      <c r="E211" s="15" t="s">
        <v>22</v>
      </c>
      <c r="F211" s="33" t="s">
        <v>759</v>
      </c>
      <c r="G211" s="17" t="s">
        <v>761</v>
      </c>
      <c r="H211" s="15" t="s">
        <v>14</v>
      </c>
      <c r="I211" s="32" t="s">
        <v>19</v>
      </c>
      <c r="J211" s="54" t="s">
        <v>4</v>
      </c>
      <c r="L211" s="18" t="s">
        <v>2</v>
      </c>
      <c r="M211" s="19">
        <f t="shared" si="31"/>
        <v>2024</v>
      </c>
      <c r="N211" s="19">
        <f t="shared" si="32"/>
        <v>10</v>
      </c>
      <c r="O211" s="19">
        <f t="shared" si="33"/>
        <v>17</v>
      </c>
      <c r="P211" s="18" t="str">
        <f t="shared" si="28"/>
        <v>20241017</v>
      </c>
      <c r="Q211" s="20"/>
      <c r="R211" s="18" t="s">
        <v>27</v>
      </c>
      <c r="S211" s="18">
        <f t="shared" ca="1" si="29"/>
        <v>2022</v>
      </c>
      <c r="T211" s="21">
        <f t="shared" ca="1" si="26"/>
        <v>12</v>
      </c>
      <c r="U211" s="21" t="str">
        <f t="shared" ca="1" si="27"/>
        <v>05</v>
      </c>
      <c r="V211" s="21" t="str">
        <f t="shared" ca="1" si="30"/>
        <v>20221205</v>
      </c>
      <c r="Z211" s="29" t="s">
        <v>799</v>
      </c>
    </row>
    <row r="212" spans="1:26" ht="16.350000000000001" hidden="1" customHeight="1" x14ac:dyDescent="0.2">
      <c r="A212" s="34" t="s">
        <v>757</v>
      </c>
      <c r="B212" s="67" t="s">
        <v>508</v>
      </c>
      <c r="C212" s="35" t="s">
        <v>515</v>
      </c>
      <c r="D212" s="15" t="s">
        <v>468</v>
      </c>
      <c r="E212" s="35" t="s">
        <v>430</v>
      </c>
      <c r="F212" s="36">
        <v>44844</v>
      </c>
      <c r="G212" s="17" t="s">
        <v>758</v>
      </c>
      <c r="H212" s="35" t="s">
        <v>14</v>
      </c>
      <c r="I212" s="35" t="s">
        <v>23</v>
      </c>
      <c r="J212" s="58" t="s">
        <v>470</v>
      </c>
      <c r="L212" s="18" t="s">
        <v>2</v>
      </c>
      <c r="M212" s="19">
        <f t="shared" si="31"/>
        <v>2024</v>
      </c>
      <c r="N212" s="19">
        <f t="shared" si="32"/>
        <v>10</v>
      </c>
      <c r="O212" s="19">
        <f t="shared" si="33"/>
        <v>10</v>
      </c>
      <c r="P212" s="18" t="str">
        <f t="shared" si="28"/>
        <v>20241010</v>
      </c>
      <c r="Q212" s="20"/>
      <c r="R212" s="18" t="s">
        <v>27</v>
      </c>
      <c r="S212" s="18">
        <f t="shared" ca="1" si="29"/>
        <v>2022</v>
      </c>
      <c r="T212" s="21">
        <f t="shared" ca="1" si="26"/>
        <v>12</v>
      </c>
      <c r="U212" s="21" t="str">
        <f t="shared" ca="1" si="27"/>
        <v>05</v>
      </c>
      <c r="V212" s="21" t="str">
        <f t="shared" ca="1" si="30"/>
        <v>20221205</v>
      </c>
      <c r="Z212" s="6" t="s">
        <v>651</v>
      </c>
    </row>
    <row r="213" spans="1:26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759</v>
      </c>
      <c r="G213" s="17" t="s">
        <v>761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1"/>
        <v>2024</v>
      </c>
      <c r="N213" s="19">
        <f t="shared" si="32"/>
        <v>10</v>
      </c>
      <c r="O213" s="19">
        <f t="shared" si="33"/>
        <v>17</v>
      </c>
      <c r="P213" s="18" t="str">
        <f t="shared" si="28"/>
        <v>20241017</v>
      </c>
      <c r="Q213" s="20"/>
      <c r="R213" s="18" t="s">
        <v>27</v>
      </c>
      <c r="S213" s="18">
        <f t="shared" ca="1" si="29"/>
        <v>2022</v>
      </c>
      <c r="T213" s="21">
        <f t="shared" ca="1" si="26"/>
        <v>12</v>
      </c>
      <c r="U213" s="21" t="str">
        <f t="shared" ca="1" si="27"/>
        <v>05</v>
      </c>
      <c r="V213" s="21" t="str">
        <f t="shared" ca="1" si="30"/>
        <v>20221205</v>
      </c>
      <c r="Z213" s="29" t="s">
        <v>651</v>
      </c>
    </row>
    <row r="214" spans="1:26" ht="16.350000000000001" customHeight="1" x14ac:dyDescent="0.2">
      <c r="A214" s="14" t="s">
        <v>300</v>
      </c>
      <c r="B214" s="60" t="s">
        <v>410</v>
      </c>
      <c r="C214" s="15" t="s">
        <v>301</v>
      </c>
      <c r="D214" s="15" t="s">
        <v>161</v>
      </c>
      <c r="E214" s="32" t="s">
        <v>22</v>
      </c>
      <c r="F214" s="33" t="s">
        <v>759</v>
      </c>
      <c r="G214" s="17" t="s">
        <v>761</v>
      </c>
      <c r="H214" s="32" t="s">
        <v>14</v>
      </c>
      <c r="I214" s="32" t="s">
        <v>19</v>
      </c>
      <c r="J214" s="54" t="s">
        <v>4</v>
      </c>
      <c r="L214" s="18" t="s">
        <v>2</v>
      </c>
      <c r="M214" s="19">
        <f t="shared" si="31"/>
        <v>2024</v>
      </c>
      <c r="N214" s="19">
        <f t="shared" si="32"/>
        <v>10</v>
      </c>
      <c r="O214" s="19">
        <f t="shared" si="33"/>
        <v>17</v>
      </c>
      <c r="P214" s="18" t="str">
        <f t="shared" si="28"/>
        <v>20241017</v>
      </c>
      <c r="Q214" s="20"/>
      <c r="R214" s="18" t="s">
        <v>27</v>
      </c>
      <c r="S214" s="18">
        <f t="shared" ca="1" si="29"/>
        <v>2022</v>
      </c>
      <c r="T214" s="21">
        <f t="shared" ca="1" si="26"/>
        <v>12</v>
      </c>
      <c r="U214" s="21" t="str">
        <f t="shared" ca="1" si="27"/>
        <v>05</v>
      </c>
      <c r="V214" s="21" t="str">
        <f t="shared" ca="1" si="30"/>
        <v>20221205</v>
      </c>
      <c r="Z214" s="6" t="s">
        <v>799</v>
      </c>
    </row>
    <row r="215" spans="1:26" ht="16.350000000000001" customHeight="1" x14ac:dyDescent="0.2">
      <c r="A215" s="14" t="s">
        <v>305</v>
      </c>
      <c r="B215" s="59">
        <v>1024386</v>
      </c>
      <c r="C215" s="15" t="s">
        <v>160</v>
      </c>
      <c r="D215" s="15" t="s">
        <v>161</v>
      </c>
      <c r="E215" s="32" t="s">
        <v>22</v>
      </c>
      <c r="F215" s="33" t="s">
        <v>759</v>
      </c>
      <c r="G215" s="17" t="s">
        <v>761</v>
      </c>
      <c r="H215" s="32" t="s">
        <v>14</v>
      </c>
      <c r="I215" s="15" t="s">
        <v>19</v>
      </c>
      <c r="J215" s="54" t="s">
        <v>4</v>
      </c>
      <c r="L215" s="18" t="s">
        <v>2</v>
      </c>
      <c r="M215" s="19">
        <f t="shared" si="31"/>
        <v>2024</v>
      </c>
      <c r="N215" s="19">
        <f t="shared" si="32"/>
        <v>10</v>
      </c>
      <c r="O215" s="19">
        <f t="shared" si="33"/>
        <v>17</v>
      </c>
      <c r="P215" s="18" t="str">
        <f t="shared" si="28"/>
        <v>20241017</v>
      </c>
      <c r="Q215" s="20"/>
      <c r="R215" s="18" t="s">
        <v>27</v>
      </c>
      <c r="S215" s="18">
        <f t="shared" ca="1" si="29"/>
        <v>2022</v>
      </c>
      <c r="T215" s="21">
        <f t="shared" ca="1" si="26"/>
        <v>12</v>
      </c>
      <c r="U215" s="21" t="str">
        <f t="shared" ca="1" si="27"/>
        <v>05</v>
      </c>
      <c r="V215" s="21" t="str">
        <f t="shared" ca="1" si="30"/>
        <v>20221205</v>
      </c>
      <c r="Z215" s="29" t="s">
        <v>799</v>
      </c>
    </row>
    <row r="216" spans="1:26" ht="16.350000000000001" customHeight="1" x14ac:dyDescent="0.2">
      <c r="A216" s="14" t="s">
        <v>384</v>
      </c>
      <c r="B216" s="59">
        <v>1025320</v>
      </c>
      <c r="C216" s="15" t="s">
        <v>385</v>
      </c>
      <c r="D216" s="15" t="s">
        <v>161</v>
      </c>
      <c r="E216" s="32" t="s">
        <v>22</v>
      </c>
      <c r="F216" s="33" t="s">
        <v>759</v>
      </c>
      <c r="G216" s="17" t="s">
        <v>761</v>
      </c>
      <c r="H216" s="15" t="s">
        <v>14</v>
      </c>
      <c r="I216" s="15" t="s">
        <v>13</v>
      </c>
      <c r="J216" s="54" t="s">
        <v>760</v>
      </c>
      <c r="L216" s="18" t="s">
        <v>2</v>
      </c>
      <c r="M216" s="19">
        <f t="shared" si="31"/>
        <v>2024</v>
      </c>
      <c r="N216" s="19">
        <f t="shared" si="32"/>
        <v>10</v>
      </c>
      <c r="O216" s="19">
        <f t="shared" si="33"/>
        <v>17</v>
      </c>
      <c r="P216" s="18" t="str">
        <f t="shared" si="28"/>
        <v>20241017</v>
      </c>
      <c r="Q216" s="20"/>
      <c r="R216" s="18" t="s">
        <v>27</v>
      </c>
      <c r="S216" s="18">
        <f t="shared" ca="1" si="29"/>
        <v>2022</v>
      </c>
      <c r="T216" s="21">
        <f t="shared" ca="1" si="26"/>
        <v>12</v>
      </c>
      <c r="U216" s="21" t="str">
        <f t="shared" ca="1" si="27"/>
        <v>05</v>
      </c>
      <c r="V216" s="21" t="str">
        <f t="shared" ca="1" si="30"/>
        <v>20221205</v>
      </c>
      <c r="Z216" s="6" t="s">
        <v>799</v>
      </c>
    </row>
    <row r="217" spans="1:26" ht="16.350000000000001" customHeight="1" x14ac:dyDescent="0.2">
      <c r="A217" s="14" t="s">
        <v>52</v>
      </c>
      <c r="B217" s="59">
        <v>1024386</v>
      </c>
      <c r="C217" s="15" t="s">
        <v>53</v>
      </c>
      <c r="D217" s="15" t="s">
        <v>158</v>
      </c>
      <c r="E217" s="15" t="s">
        <v>22</v>
      </c>
      <c r="F217" s="16" t="s">
        <v>763</v>
      </c>
      <c r="G217" s="17" t="s">
        <v>762</v>
      </c>
      <c r="H217" s="15" t="s">
        <v>14</v>
      </c>
      <c r="I217" s="15" t="s">
        <v>19</v>
      </c>
      <c r="J217" s="54" t="s">
        <v>786</v>
      </c>
      <c r="L217" s="18" t="s">
        <v>2</v>
      </c>
      <c r="M217" s="19">
        <f t="shared" si="31"/>
        <v>2024</v>
      </c>
      <c r="N217" s="19">
        <f t="shared" si="32"/>
        <v>10</v>
      </c>
      <c r="O217" s="19">
        <f t="shared" si="33"/>
        <v>18</v>
      </c>
      <c r="P217" s="18" t="str">
        <f t="shared" si="28"/>
        <v>20241018</v>
      </c>
      <c r="Q217" s="20"/>
      <c r="R217" s="18" t="s">
        <v>27</v>
      </c>
      <c r="S217" s="18">
        <f t="shared" ca="1" si="29"/>
        <v>2022</v>
      </c>
      <c r="T217" s="21">
        <f t="shared" ca="1" si="26"/>
        <v>12</v>
      </c>
      <c r="U217" s="21" t="str">
        <f t="shared" ca="1" si="27"/>
        <v>05</v>
      </c>
      <c r="V217" s="21" t="str">
        <f t="shared" ca="1" si="30"/>
        <v>20221205</v>
      </c>
      <c r="Z217" s="29" t="s">
        <v>799</v>
      </c>
    </row>
    <row r="218" spans="1:26" ht="16.350000000000001" customHeight="1" x14ac:dyDescent="0.2">
      <c r="A218" s="14" t="s">
        <v>469</v>
      </c>
      <c r="B218" s="59">
        <v>302117510</v>
      </c>
      <c r="C218" s="15" t="s">
        <v>465</v>
      </c>
      <c r="D218" s="15" t="s">
        <v>468</v>
      </c>
      <c r="E218" s="15" t="s">
        <v>430</v>
      </c>
      <c r="F218" s="16" t="s">
        <v>763</v>
      </c>
      <c r="G218" s="17" t="s">
        <v>762</v>
      </c>
      <c r="H218" s="15" t="s">
        <v>14</v>
      </c>
      <c r="I218" s="15" t="s">
        <v>138</v>
      </c>
      <c r="J218" s="54" t="s">
        <v>470</v>
      </c>
      <c r="L218" s="18" t="s">
        <v>2</v>
      </c>
      <c r="M218" s="19">
        <f t="shared" si="31"/>
        <v>2024</v>
      </c>
      <c r="N218" s="19">
        <f t="shared" si="32"/>
        <v>10</v>
      </c>
      <c r="O218" s="19">
        <f t="shared" si="33"/>
        <v>18</v>
      </c>
      <c r="P218" s="18" t="str">
        <f t="shared" si="28"/>
        <v>20241018</v>
      </c>
      <c r="Q218" s="20"/>
      <c r="R218" s="18" t="s">
        <v>27</v>
      </c>
      <c r="S218" s="18">
        <f t="shared" ca="1" si="29"/>
        <v>2022</v>
      </c>
      <c r="T218" s="21">
        <f t="shared" ca="1" si="26"/>
        <v>12</v>
      </c>
      <c r="U218" s="21" t="str">
        <f t="shared" ca="1" si="27"/>
        <v>05</v>
      </c>
      <c r="V218" s="21" t="str">
        <f t="shared" ca="1" si="30"/>
        <v>20221205</v>
      </c>
      <c r="Z218" s="6" t="s">
        <v>799</v>
      </c>
    </row>
    <row r="219" spans="1:26" ht="16.350000000000001" customHeight="1" x14ac:dyDescent="0.2">
      <c r="A219" s="14" t="s">
        <v>211</v>
      </c>
      <c r="B219" s="60" t="s">
        <v>764</v>
      </c>
      <c r="C219" s="15" t="s">
        <v>247</v>
      </c>
      <c r="D219" s="15" t="s">
        <v>161</v>
      </c>
      <c r="E219" s="15" t="s">
        <v>235</v>
      </c>
      <c r="F219" s="33" t="s">
        <v>766</v>
      </c>
      <c r="G219" s="17" t="s">
        <v>765</v>
      </c>
      <c r="H219" s="76" t="s">
        <v>14</v>
      </c>
      <c r="I219" s="15" t="s">
        <v>23</v>
      </c>
      <c r="J219" s="54" t="s">
        <v>4</v>
      </c>
      <c r="L219" s="18" t="s">
        <v>2</v>
      </c>
      <c r="M219" s="19">
        <f t="shared" si="31"/>
        <v>2024</v>
      </c>
      <c r="N219" s="19">
        <f t="shared" si="32"/>
        <v>10</v>
      </c>
      <c r="O219" s="19">
        <f t="shared" si="33"/>
        <v>28</v>
      </c>
      <c r="P219" s="18" t="str">
        <f t="shared" si="28"/>
        <v>20241028</v>
      </c>
      <c r="Q219" s="20"/>
      <c r="R219" s="18" t="s">
        <v>27</v>
      </c>
      <c r="S219" s="18">
        <f t="shared" ca="1" si="29"/>
        <v>2022</v>
      </c>
      <c r="T219" s="21">
        <f t="shared" ca="1" si="26"/>
        <v>12</v>
      </c>
      <c r="U219" s="21" t="str">
        <f t="shared" ca="1" si="27"/>
        <v>05</v>
      </c>
      <c r="V219" s="21" t="str">
        <f t="shared" ca="1" si="30"/>
        <v>20221205</v>
      </c>
      <c r="Z219" s="29" t="s">
        <v>799</v>
      </c>
    </row>
    <row r="220" spans="1:26" ht="16.350000000000001" hidden="1" customHeight="1" x14ac:dyDescent="0.2">
      <c r="A220" s="14" t="s">
        <v>772</v>
      </c>
      <c r="B220" s="60" t="s">
        <v>578</v>
      </c>
      <c r="C220" s="15" t="s">
        <v>578</v>
      </c>
      <c r="D220" s="15" t="s">
        <v>578</v>
      </c>
      <c r="E220" s="15" t="s">
        <v>578</v>
      </c>
      <c r="F220" s="16" t="s">
        <v>578</v>
      </c>
      <c r="G220" s="17" t="s">
        <v>578</v>
      </c>
      <c r="H220" s="15" t="s">
        <v>578</v>
      </c>
      <c r="I220" s="15" t="s">
        <v>578</v>
      </c>
      <c r="J220" s="54" t="s">
        <v>784</v>
      </c>
      <c r="L220" s="18" t="s">
        <v>2</v>
      </c>
      <c r="M220" s="19" t="e">
        <f t="shared" si="31"/>
        <v>#VALUE!</v>
      </c>
      <c r="N220" s="19" t="e">
        <f t="shared" si="32"/>
        <v>#VALUE!</v>
      </c>
      <c r="O220" s="19" t="e">
        <f t="shared" si="33"/>
        <v>#VALUE!</v>
      </c>
      <c r="P220" s="18" t="e">
        <f t="shared" si="28"/>
        <v>#VALUE!</v>
      </c>
      <c r="Q220" s="20"/>
      <c r="R220" s="18" t="s">
        <v>27</v>
      </c>
      <c r="S220" s="18">
        <f t="shared" ca="1" si="29"/>
        <v>2022</v>
      </c>
      <c r="T220" s="21">
        <f t="shared" ca="1" si="26"/>
        <v>12</v>
      </c>
      <c r="U220" s="21" t="str">
        <f t="shared" ca="1" si="27"/>
        <v>05</v>
      </c>
      <c r="V220" s="21" t="str">
        <f t="shared" ca="1" si="30"/>
        <v>20221205</v>
      </c>
      <c r="Z220" s="6" t="s">
        <v>651</v>
      </c>
    </row>
    <row r="221" spans="1:26" ht="16.350000000000001" hidden="1" customHeight="1" x14ac:dyDescent="0.2">
      <c r="A221" s="14" t="s">
        <v>212</v>
      </c>
      <c r="B221" s="60" t="s">
        <v>764</v>
      </c>
      <c r="C221" s="15" t="s">
        <v>248</v>
      </c>
      <c r="D221" s="15" t="s">
        <v>161</v>
      </c>
      <c r="E221" s="15" t="s">
        <v>235</v>
      </c>
      <c r="F221" s="33" t="s">
        <v>766</v>
      </c>
      <c r="G221" s="17" t="s">
        <v>765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1"/>
        <v>2024</v>
      </c>
      <c r="N221" s="19">
        <f t="shared" si="32"/>
        <v>10</v>
      </c>
      <c r="O221" s="19">
        <f t="shared" si="33"/>
        <v>28</v>
      </c>
      <c r="P221" s="18" t="str">
        <f t="shared" si="28"/>
        <v>20241028</v>
      </c>
      <c r="Q221" s="20"/>
      <c r="R221" s="18" t="s">
        <v>27</v>
      </c>
      <c r="S221" s="18">
        <f t="shared" ca="1" si="29"/>
        <v>2022</v>
      </c>
      <c r="T221" s="21">
        <f t="shared" ca="1" si="26"/>
        <v>12</v>
      </c>
      <c r="U221" s="21" t="str">
        <f t="shared" ca="1" si="27"/>
        <v>05</v>
      </c>
      <c r="V221" s="21" t="str">
        <f t="shared" ca="1" si="30"/>
        <v>20221205</v>
      </c>
      <c r="Z221" s="29" t="s">
        <v>651</v>
      </c>
    </row>
    <row r="222" spans="1:26" ht="16.350000000000001" customHeight="1" x14ac:dyDescent="0.2">
      <c r="A222" s="14" t="s">
        <v>294</v>
      </c>
      <c r="B222" s="60" t="s">
        <v>407</v>
      </c>
      <c r="C222" s="15" t="s">
        <v>295</v>
      </c>
      <c r="D222" s="15" t="s">
        <v>161</v>
      </c>
      <c r="E222" s="32" t="s">
        <v>22</v>
      </c>
      <c r="F222" s="33" t="s">
        <v>766</v>
      </c>
      <c r="G222" s="17" t="s">
        <v>765</v>
      </c>
      <c r="H222" s="32" t="s">
        <v>14</v>
      </c>
      <c r="I222" s="15" t="s">
        <v>23</v>
      </c>
      <c r="J222" s="54" t="s">
        <v>4</v>
      </c>
      <c r="L222" s="18" t="s">
        <v>2</v>
      </c>
      <c r="M222" s="19">
        <f t="shared" si="31"/>
        <v>2024</v>
      </c>
      <c r="N222" s="19">
        <f t="shared" si="32"/>
        <v>10</v>
      </c>
      <c r="O222" s="19">
        <f t="shared" si="33"/>
        <v>28</v>
      </c>
      <c r="P222" s="18" t="str">
        <f t="shared" si="28"/>
        <v>20241028</v>
      </c>
      <c r="Q222" s="20"/>
      <c r="R222" s="18" t="s">
        <v>27</v>
      </c>
      <c r="S222" s="18">
        <f t="shared" ca="1" si="29"/>
        <v>2022</v>
      </c>
      <c r="T222" s="21">
        <f t="shared" ca="1" si="26"/>
        <v>12</v>
      </c>
      <c r="U222" s="21" t="str">
        <f t="shared" ca="1" si="27"/>
        <v>05</v>
      </c>
      <c r="V222" s="21" t="str">
        <f t="shared" ca="1" si="30"/>
        <v>20221205</v>
      </c>
      <c r="Z222" s="6" t="s">
        <v>799</v>
      </c>
    </row>
    <row r="223" spans="1:26" ht="16.350000000000001" customHeight="1" x14ac:dyDescent="0.2">
      <c r="A223" s="14" t="s">
        <v>296</v>
      </c>
      <c r="B223" s="60" t="s">
        <v>408</v>
      </c>
      <c r="C223" s="15" t="s">
        <v>297</v>
      </c>
      <c r="D223" s="15" t="s">
        <v>161</v>
      </c>
      <c r="E223" s="32" t="s">
        <v>22</v>
      </c>
      <c r="F223" s="33" t="s">
        <v>766</v>
      </c>
      <c r="G223" s="17" t="s">
        <v>765</v>
      </c>
      <c r="H223" s="32" t="s">
        <v>14</v>
      </c>
      <c r="I223" s="15" t="s">
        <v>23</v>
      </c>
      <c r="J223" s="54" t="s">
        <v>4</v>
      </c>
      <c r="L223" s="18" t="s">
        <v>2</v>
      </c>
      <c r="M223" s="19">
        <f t="shared" ref="M223:M250" si="34">YEAR(G223)</f>
        <v>2024</v>
      </c>
      <c r="N223" s="19">
        <f t="shared" ref="N223:N250" si="35">IF(MONTH(G223)&lt;10,CONCATENATE(0,MONTH(G223)),MONTH(G223))</f>
        <v>10</v>
      </c>
      <c r="O223" s="19">
        <f t="shared" ref="O223:O250" si="36">IF(DAY(G223)&lt;10,CONCATENATE(0,DAY(G223)),DAY(G223))</f>
        <v>28</v>
      </c>
      <c r="P223" s="18" t="str">
        <f t="shared" ref="P223:P239" si="37">CONCATENATE(M223,N223,O223)</f>
        <v>20241028</v>
      </c>
      <c r="Q223" s="20"/>
      <c r="R223" s="18" t="s">
        <v>27</v>
      </c>
      <c r="S223" s="18">
        <f t="shared" ref="S223:S239" ca="1" si="38">YEAR(TODAY())</f>
        <v>2022</v>
      </c>
      <c r="T223" s="21">
        <f t="shared" ref="T223:T239" ca="1" si="39">IF(MONTH(TODAY())&lt;10,CONCATENATE(0,MONTH(TODAY())),MONTH(TODAY()))</f>
        <v>12</v>
      </c>
      <c r="U223" s="21" t="str">
        <f t="shared" ref="U223:U239" ca="1" si="40">IF(DAY(TODAY())&lt;10,CONCATENATE(0,DAY(TODAY())),DAY(TODAY()))</f>
        <v>05</v>
      </c>
      <c r="V223" s="21" t="str">
        <f t="shared" ref="V223:V239" ca="1" si="41">CONCATENATE(S223,T223,U223)</f>
        <v>20221205</v>
      </c>
      <c r="Z223" s="29" t="s">
        <v>799</v>
      </c>
    </row>
    <row r="224" spans="1:26" ht="16.350000000000001" customHeight="1" x14ac:dyDescent="0.2">
      <c r="A224" s="34" t="s">
        <v>767</v>
      </c>
      <c r="B224" s="67" t="s">
        <v>768</v>
      </c>
      <c r="C224" s="35" t="s">
        <v>769</v>
      </c>
      <c r="D224" s="15" t="s">
        <v>161</v>
      </c>
      <c r="E224" s="35" t="s">
        <v>22</v>
      </c>
      <c r="F224" s="36" t="s">
        <v>770</v>
      </c>
      <c r="G224" s="37" t="s">
        <v>771</v>
      </c>
      <c r="H224" s="35" t="s">
        <v>14</v>
      </c>
      <c r="I224" s="35" t="s">
        <v>19</v>
      </c>
      <c r="J224" s="58" t="s">
        <v>783</v>
      </c>
      <c r="L224" s="18" t="s">
        <v>2</v>
      </c>
      <c r="M224" s="19">
        <f t="shared" si="34"/>
        <v>2024</v>
      </c>
      <c r="N224" s="19">
        <f t="shared" si="35"/>
        <v>11</v>
      </c>
      <c r="O224" s="19" t="str">
        <f t="shared" si="36"/>
        <v>04</v>
      </c>
      <c r="P224" s="18" t="str">
        <f t="shared" si="37"/>
        <v>20241104</v>
      </c>
      <c r="Q224" s="20"/>
      <c r="R224" s="18" t="s">
        <v>27</v>
      </c>
      <c r="S224" s="18">
        <f t="shared" ca="1" si="38"/>
        <v>2022</v>
      </c>
      <c r="T224" s="21">
        <f t="shared" ca="1" si="39"/>
        <v>12</v>
      </c>
      <c r="U224" s="21" t="str">
        <f t="shared" ca="1" si="40"/>
        <v>05</v>
      </c>
      <c r="V224" s="21" t="str">
        <f t="shared" ca="1" si="41"/>
        <v>20221205</v>
      </c>
      <c r="Z224" s="6" t="s">
        <v>799</v>
      </c>
    </row>
    <row r="225" spans="1:36" ht="16.350000000000001" customHeight="1" x14ac:dyDescent="0.2">
      <c r="A225" s="34" t="s">
        <v>774</v>
      </c>
      <c r="B225" s="66">
        <v>58900526</v>
      </c>
      <c r="C225" s="35" t="s">
        <v>752</v>
      </c>
      <c r="D225" s="15" t="s">
        <v>161</v>
      </c>
      <c r="E225" s="35" t="s">
        <v>10</v>
      </c>
      <c r="F225" s="36">
        <v>44875</v>
      </c>
      <c r="G225" s="37" t="s">
        <v>775</v>
      </c>
      <c r="H225" s="35" t="s">
        <v>14</v>
      </c>
      <c r="I225" s="35" t="s">
        <v>439</v>
      </c>
      <c r="J225" s="58" t="s">
        <v>4</v>
      </c>
      <c r="L225" s="18" t="s">
        <v>2</v>
      </c>
      <c r="M225" s="19">
        <f t="shared" si="34"/>
        <v>2024</v>
      </c>
      <c r="N225" s="19">
        <f t="shared" si="35"/>
        <v>11</v>
      </c>
      <c r="O225" s="19">
        <f t="shared" si="36"/>
        <v>10</v>
      </c>
      <c r="P225" s="18" t="str">
        <f t="shared" si="37"/>
        <v>20241110</v>
      </c>
      <c r="Q225" s="20"/>
      <c r="R225" s="18" t="s">
        <v>27</v>
      </c>
      <c r="S225" s="18">
        <f t="shared" ca="1" si="38"/>
        <v>2022</v>
      </c>
      <c r="T225" s="21">
        <f t="shared" ca="1" si="39"/>
        <v>12</v>
      </c>
      <c r="U225" s="21" t="str">
        <f t="shared" ca="1" si="40"/>
        <v>05</v>
      </c>
      <c r="V225" s="21" t="str">
        <f t="shared" ca="1" si="41"/>
        <v>20221205</v>
      </c>
      <c r="Z225" s="29" t="s">
        <v>799</v>
      </c>
    </row>
    <row r="226" spans="1:36" ht="16.350000000000001" customHeight="1" x14ac:dyDescent="0.2">
      <c r="A226" s="34" t="s">
        <v>776</v>
      </c>
      <c r="B226" s="67" t="s">
        <v>777</v>
      </c>
      <c r="C226" s="35" t="s">
        <v>778</v>
      </c>
      <c r="D226" s="15" t="s">
        <v>161</v>
      </c>
      <c r="E226" s="35" t="s">
        <v>22</v>
      </c>
      <c r="F226" s="36">
        <v>44875</v>
      </c>
      <c r="G226" s="37" t="s">
        <v>775</v>
      </c>
      <c r="H226" s="35" t="s">
        <v>14</v>
      </c>
      <c r="I226" s="35" t="s">
        <v>13</v>
      </c>
      <c r="J226" s="58" t="s">
        <v>4</v>
      </c>
      <c r="L226" s="18" t="s">
        <v>2</v>
      </c>
      <c r="M226" s="19">
        <f t="shared" si="34"/>
        <v>2024</v>
      </c>
      <c r="N226" s="19">
        <f t="shared" si="35"/>
        <v>11</v>
      </c>
      <c r="O226" s="19">
        <f t="shared" si="36"/>
        <v>10</v>
      </c>
      <c r="P226" s="18" t="str">
        <f t="shared" si="37"/>
        <v>20241110</v>
      </c>
      <c r="Q226" s="20"/>
      <c r="R226" s="18" t="s">
        <v>27</v>
      </c>
      <c r="S226" s="18">
        <f t="shared" ca="1" si="38"/>
        <v>2022</v>
      </c>
      <c r="T226" s="21">
        <f t="shared" ca="1" si="39"/>
        <v>12</v>
      </c>
      <c r="U226" s="21" t="str">
        <f t="shared" ca="1" si="40"/>
        <v>05</v>
      </c>
      <c r="V226" s="21" t="str">
        <f t="shared" ca="1" si="41"/>
        <v>20221205</v>
      </c>
      <c r="Z226" s="6" t="s">
        <v>799</v>
      </c>
    </row>
    <row r="227" spans="1:36" ht="16.350000000000001" customHeight="1" x14ac:dyDescent="0.2">
      <c r="A227" s="34" t="s">
        <v>779</v>
      </c>
      <c r="B227" s="67" t="s">
        <v>780</v>
      </c>
      <c r="C227" s="35" t="s">
        <v>781</v>
      </c>
      <c r="D227" s="15" t="s">
        <v>161</v>
      </c>
      <c r="E227" s="35" t="s">
        <v>22</v>
      </c>
      <c r="F227" s="36" t="s">
        <v>782</v>
      </c>
      <c r="G227" s="37" t="s">
        <v>775</v>
      </c>
      <c r="H227" s="35" t="s">
        <v>14</v>
      </c>
      <c r="I227" s="42" t="s">
        <v>13</v>
      </c>
      <c r="J227" s="58" t="s">
        <v>4</v>
      </c>
      <c r="L227" s="18" t="s">
        <v>2</v>
      </c>
      <c r="M227" s="19">
        <f t="shared" si="34"/>
        <v>2024</v>
      </c>
      <c r="N227" s="19">
        <f t="shared" si="35"/>
        <v>11</v>
      </c>
      <c r="O227" s="19">
        <f t="shared" si="36"/>
        <v>10</v>
      </c>
      <c r="P227" s="18" t="str">
        <f t="shared" si="37"/>
        <v>20241110</v>
      </c>
      <c r="Q227" s="20"/>
      <c r="R227" s="18" t="s">
        <v>27</v>
      </c>
      <c r="S227" s="18">
        <f t="shared" ca="1" si="38"/>
        <v>2022</v>
      </c>
      <c r="T227" s="21">
        <f t="shared" ca="1" si="39"/>
        <v>12</v>
      </c>
      <c r="U227" s="21" t="str">
        <f t="shared" ca="1" si="40"/>
        <v>05</v>
      </c>
      <c r="V227" s="21" t="str">
        <f t="shared" ca="1" si="41"/>
        <v>20221205</v>
      </c>
      <c r="Z227" s="29" t="s">
        <v>799</v>
      </c>
    </row>
    <row r="228" spans="1:36" ht="16.350000000000001" customHeight="1" x14ac:dyDescent="0.2">
      <c r="A228" s="14" t="s">
        <v>73</v>
      </c>
      <c r="B228" s="60" t="s">
        <v>74</v>
      </c>
      <c r="C228" s="15" t="s">
        <v>75</v>
      </c>
      <c r="D228" s="15" t="s">
        <v>158</v>
      </c>
      <c r="E228" s="15" t="s">
        <v>34</v>
      </c>
      <c r="F228" s="16" t="s">
        <v>820</v>
      </c>
      <c r="G228" s="17" t="s">
        <v>821</v>
      </c>
      <c r="H228" s="15" t="s">
        <v>14</v>
      </c>
      <c r="I228" s="15" t="s">
        <v>19</v>
      </c>
      <c r="J228" s="54" t="s">
        <v>760</v>
      </c>
      <c r="L228" s="18" t="s">
        <v>2</v>
      </c>
      <c r="M228" s="19">
        <f t="shared" si="34"/>
        <v>2024</v>
      </c>
      <c r="N228" s="19">
        <f t="shared" si="35"/>
        <v>12</v>
      </c>
      <c r="O228" s="19" t="str">
        <f t="shared" si="36"/>
        <v>01</v>
      </c>
      <c r="P228" s="18" t="str">
        <f t="shared" si="37"/>
        <v>20241201</v>
      </c>
      <c r="Q228" s="20"/>
      <c r="R228" s="18" t="s">
        <v>27</v>
      </c>
      <c r="S228" s="18">
        <f t="shared" ca="1" si="38"/>
        <v>2022</v>
      </c>
      <c r="T228" s="21">
        <f t="shared" ca="1" si="39"/>
        <v>12</v>
      </c>
      <c r="U228" s="21" t="str">
        <f t="shared" ca="1" si="40"/>
        <v>05</v>
      </c>
      <c r="V228" s="21" t="str">
        <f t="shared" ca="1" si="41"/>
        <v>20221205</v>
      </c>
      <c r="Z228" s="6" t="s">
        <v>799</v>
      </c>
    </row>
    <row r="229" spans="1:36" ht="16.350000000000001" customHeight="1" x14ac:dyDescent="0.2">
      <c r="A229" s="14" t="s">
        <v>185</v>
      </c>
      <c r="B229" s="60" t="s">
        <v>186</v>
      </c>
      <c r="C229" s="15" t="s">
        <v>187</v>
      </c>
      <c r="D229" s="15" t="s">
        <v>161</v>
      </c>
      <c r="E229" s="15" t="s">
        <v>10</v>
      </c>
      <c r="F229" s="16" t="s">
        <v>820</v>
      </c>
      <c r="G229" s="17" t="s">
        <v>821</v>
      </c>
      <c r="H229" s="15" t="s">
        <v>14</v>
      </c>
      <c r="I229" s="15" t="s">
        <v>13</v>
      </c>
      <c r="J229" s="54" t="s">
        <v>4</v>
      </c>
      <c r="L229" s="18" t="s">
        <v>2</v>
      </c>
      <c r="M229" s="19">
        <f t="shared" si="34"/>
        <v>2024</v>
      </c>
      <c r="N229" s="19">
        <f t="shared" si="35"/>
        <v>12</v>
      </c>
      <c r="O229" s="19" t="str">
        <f t="shared" si="36"/>
        <v>01</v>
      </c>
      <c r="P229" s="18" t="str">
        <f t="shared" si="37"/>
        <v>20241201</v>
      </c>
      <c r="Q229" s="20"/>
      <c r="R229" s="18" t="s">
        <v>27</v>
      </c>
      <c r="S229" s="18">
        <f t="shared" ca="1" si="38"/>
        <v>2022</v>
      </c>
      <c r="T229" s="21">
        <f t="shared" ca="1" si="39"/>
        <v>12</v>
      </c>
      <c r="U229" s="21" t="str">
        <f t="shared" ca="1" si="40"/>
        <v>05</v>
      </c>
      <c r="V229" s="21" t="str">
        <f t="shared" ca="1" si="41"/>
        <v>20221205</v>
      </c>
      <c r="Z229" s="29" t="s">
        <v>799</v>
      </c>
      <c r="AA229" s="6" t="s">
        <v>578</v>
      </c>
      <c r="AB229" s="6" t="s">
        <v>578</v>
      </c>
      <c r="AC229" s="6" t="s">
        <v>578</v>
      </c>
      <c r="AD229" s="6" t="s">
        <v>578</v>
      </c>
      <c r="AE229" s="6" t="s">
        <v>578</v>
      </c>
      <c r="AF229" s="6" t="s">
        <v>578</v>
      </c>
      <c r="AG229" s="6" t="s">
        <v>578</v>
      </c>
      <c r="AH229" s="6" t="s">
        <v>578</v>
      </c>
      <c r="AI229" s="6" t="s">
        <v>578</v>
      </c>
      <c r="AJ229" s="6" t="s">
        <v>578</v>
      </c>
    </row>
    <row r="230" spans="1:36" ht="16.350000000000001" customHeight="1" x14ac:dyDescent="0.2">
      <c r="A230" s="14" t="s">
        <v>189</v>
      </c>
      <c r="B230" s="60" t="s">
        <v>186</v>
      </c>
      <c r="C230" s="15" t="s">
        <v>187</v>
      </c>
      <c r="D230" s="15" t="s">
        <v>161</v>
      </c>
      <c r="E230" s="15" t="s">
        <v>10</v>
      </c>
      <c r="F230" s="16" t="s">
        <v>820</v>
      </c>
      <c r="G230" s="17" t="s">
        <v>821</v>
      </c>
      <c r="H230" s="15" t="s">
        <v>14</v>
      </c>
      <c r="I230" s="15" t="s">
        <v>19</v>
      </c>
      <c r="J230" s="54" t="s">
        <v>760</v>
      </c>
      <c r="L230" s="18" t="s">
        <v>2</v>
      </c>
      <c r="M230" s="19">
        <f t="shared" si="34"/>
        <v>2024</v>
      </c>
      <c r="N230" s="19">
        <f t="shared" si="35"/>
        <v>12</v>
      </c>
      <c r="O230" s="19" t="str">
        <f t="shared" si="36"/>
        <v>01</v>
      </c>
      <c r="P230" s="18" t="str">
        <f t="shared" si="37"/>
        <v>20241201</v>
      </c>
      <c r="Q230" s="20"/>
      <c r="R230" s="18" t="s">
        <v>27</v>
      </c>
      <c r="S230" s="18">
        <f t="shared" ca="1" si="38"/>
        <v>2022</v>
      </c>
      <c r="T230" s="21">
        <f t="shared" ca="1" si="39"/>
        <v>12</v>
      </c>
      <c r="U230" s="21" t="str">
        <f t="shared" ca="1" si="40"/>
        <v>05</v>
      </c>
      <c r="V230" s="21" t="str">
        <f t="shared" ca="1" si="41"/>
        <v>20221205</v>
      </c>
      <c r="Z230" s="6" t="s">
        <v>799</v>
      </c>
    </row>
    <row r="231" spans="1:36" ht="16.350000000000001" customHeight="1" x14ac:dyDescent="0.2">
      <c r="A231" s="14" t="s">
        <v>201</v>
      </c>
      <c r="B231" s="59" t="s">
        <v>850</v>
      </c>
      <c r="C231" s="15" t="s">
        <v>196</v>
      </c>
      <c r="D231" s="15" t="s">
        <v>161</v>
      </c>
      <c r="E231" s="15" t="s">
        <v>10</v>
      </c>
      <c r="F231" s="16" t="s">
        <v>820</v>
      </c>
      <c r="G231" s="17" t="s">
        <v>821</v>
      </c>
      <c r="H231" s="15" t="s">
        <v>14</v>
      </c>
      <c r="I231" s="15" t="s">
        <v>13</v>
      </c>
      <c r="J231" s="54" t="s">
        <v>851</v>
      </c>
      <c r="L231" s="18" t="s">
        <v>2</v>
      </c>
      <c r="M231" s="19">
        <f t="shared" si="34"/>
        <v>2024</v>
      </c>
      <c r="N231" s="19">
        <f t="shared" si="35"/>
        <v>12</v>
      </c>
      <c r="O231" s="19" t="str">
        <f t="shared" si="36"/>
        <v>01</v>
      </c>
      <c r="P231" s="18" t="str">
        <f t="shared" si="37"/>
        <v>20241201</v>
      </c>
      <c r="Q231" s="20"/>
      <c r="R231" s="18" t="s">
        <v>27</v>
      </c>
      <c r="S231" s="18">
        <f t="shared" ca="1" si="38"/>
        <v>2022</v>
      </c>
      <c r="T231" s="21">
        <f t="shared" ca="1" si="39"/>
        <v>12</v>
      </c>
      <c r="U231" s="21" t="str">
        <f t="shared" ca="1" si="40"/>
        <v>05</v>
      </c>
      <c r="V231" s="21" t="str">
        <f t="shared" ca="1" si="41"/>
        <v>20221205</v>
      </c>
      <c r="Z231" s="29" t="s">
        <v>799</v>
      </c>
    </row>
    <row r="232" spans="1:36" ht="16.350000000000001" customHeight="1" x14ac:dyDescent="0.2">
      <c r="A232" s="41" t="s">
        <v>208</v>
      </c>
      <c r="B232" s="65" t="s">
        <v>209</v>
      </c>
      <c r="C232" s="15" t="s">
        <v>210</v>
      </c>
      <c r="D232" s="15" t="s">
        <v>161</v>
      </c>
      <c r="E232" s="32" t="s">
        <v>234</v>
      </c>
      <c r="F232" s="33" t="s">
        <v>820</v>
      </c>
      <c r="G232" s="17" t="s">
        <v>821</v>
      </c>
      <c r="H232" s="76" t="s">
        <v>14</v>
      </c>
      <c r="I232" s="15" t="s">
        <v>19</v>
      </c>
      <c r="J232" s="54" t="s">
        <v>760</v>
      </c>
      <c r="L232" s="18" t="s">
        <v>2</v>
      </c>
      <c r="M232" s="19">
        <f t="shared" si="34"/>
        <v>2024</v>
      </c>
      <c r="N232" s="19">
        <f t="shared" si="35"/>
        <v>12</v>
      </c>
      <c r="O232" s="19" t="str">
        <f t="shared" si="36"/>
        <v>01</v>
      </c>
      <c r="P232" s="18" t="str">
        <f t="shared" si="37"/>
        <v>20241201</v>
      </c>
      <c r="Q232" s="20"/>
      <c r="R232" s="18" t="s">
        <v>27</v>
      </c>
      <c r="S232" s="18">
        <f t="shared" ca="1" si="38"/>
        <v>2022</v>
      </c>
      <c r="T232" s="21">
        <f t="shared" ca="1" si="39"/>
        <v>12</v>
      </c>
      <c r="U232" s="21" t="str">
        <f t="shared" ca="1" si="40"/>
        <v>05</v>
      </c>
      <c r="V232" s="21" t="str">
        <f t="shared" ca="1" si="41"/>
        <v>20221205</v>
      </c>
      <c r="Z232" s="6" t="s">
        <v>799</v>
      </c>
    </row>
    <row r="233" spans="1:36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8"/>
        <v>2022</v>
      </c>
      <c r="T233" s="21">
        <f t="shared" ca="1" si="39"/>
        <v>12</v>
      </c>
      <c r="U233" s="21" t="str">
        <f t="shared" ca="1" si="40"/>
        <v>05</v>
      </c>
      <c r="V233" s="21" t="str">
        <f t="shared" ca="1" si="41"/>
        <v>20221205</v>
      </c>
      <c r="Z233" s="29" t="s">
        <v>651</v>
      </c>
    </row>
    <row r="234" spans="1:36" ht="16.350000000000001" customHeight="1" x14ac:dyDescent="0.2">
      <c r="A234" s="84" t="s">
        <v>847</v>
      </c>
      <c r="B234" s="62" t="s">
        <v>848</v>
      </c>
      <c r="C234" s="42" t="s">
        <v>849</v>
      </c>
      <c r="D234" s="6" t="s">
        <v>161</v>
      </c>
      <c r="E234" s="42" t="s">
        <v>10</v>
      </c>
      <c r="F234" s="44" t="s">
        <v>820</v>
      </c>
      <c r="G234" s="37" t="s">
        <v>821</v>
      </c>
      <c r="H234" s="42" t="s">
        <v>14</v>
      </c>
      <c r="I234" s="42" t="s">
        <v>13</v>
      </c>
      <c r="J234" s="56" t="s">
        <v>760</v>
      </c>
      <c r="L234" s="18" t="s">
        <v>2</v>
      </c>
      <c r="M234" s="19">
        <f t="shared" si="34"/>
        <v>2024</v>
      </c>
      <c r="N234" s="19">
        <f t="shared" si="35"/>
        <v>12</v>
      </c>
      <c r="O234" s="19" t="str">
        <f t="shared" si="36"/>
        <v>01</v>
      </c>
      <c r="P234" s="18" t="str">
        <f t="shared" si="37"/>
        <v>20241201</v>
      </c>
      <c r="Q234" s="20"/>
      <c r="R234" s="18" t="s">
        <v>27</v>
      </c>
      <c r="S234" s="18">
        <f t="shared" ca="1" si="38"/>
        <v>2022</v>
      </c>
      <c r="T234" s="21">
        <f t="shared" ca="1" si="39"/>
        <v>12</v>
      </c>
      <c r="U234" s="21" t="str">
        <f t="shared" ca="1" si="40"/>
        <v>05</v>
      </c>
      <c r="V234" s="21" t="str">
        <f t="shared" ca="1" si="41"/>
        <v>20221205</v>
      </c>
      <c r="Z234" s="6" t="s">
        <v>799</v>
      </c>
    </row>
    <row r="235" spans="1:36" ht="16.350000000000001" customHeight="1" x14ac:dyDescent="0.2">
      <c r="A235" s="34" t="s">
        <v>813</v>
      </c>
      <c r="B235" s="66">
        <v>200030</v>
      </c>
      <c r="C235" s="35" t="s">
        <v>814</v>
      </c>
      <c r="D235" s="15" t="s">
        <v>815</v>
      </c>
      <c r="E235" s="35" t="s">
        <v>816</v>
      </c>
      <c r="F235" s="37">
        <v>44197</v>
      </c>
      <c r="G235" s="37">
        <v>2601259</v>
      </c>
      <c r="H235" s="35" t="s">
        <v>4</v>
      </c>
      <c r="I235" s="35" t="s">
        <v>29</v>
      </c>
      <c r="J235" s="58" t="s">
        <v>817</v>
      </c>
      <c r="L235" s="18" t="s">
        <v>2</v>
      </c>
      <c r="M235" s="19">
        <f t="shared" si="34"/>
        <v>9022</v>
      </c>
      <c r="N235" s="19" t="str">
        <f t="shared" si="35"/>
        <v>01</v>
      </c>
      <c r="O235" s="19" t="str">
        <f t="shared" si="36"/>
        <v>01</v>
      </c>
      <c r="P235" s="18" t="str">
        <f t="shared" si="37"/>
        <v>90220101</v>
      </c>
      <c r="Q235" s="20"/>
      <c r="R235" s="18" t="s">
        <v>27</v>
      </c>
      <c r="S235" s="18">
        <f t="shared" ca="1" si="38"/>
        <v>2022</v>
      </c>
      <c r="T235" s="21">
        <f t="shared" ca="1" si="39"/>
        <v>12</v>
      </c>
      <c r="U235" s="21" t="str">
        <f t="shared" ca="1" si="40"/>
        <v>05</v>
      </c>
      <c r="V235" s="21" t="str">
        <f t="shared" ca="1" si="41"/>
        <v>20221205</v>
      </c>
      <c r="Z235" s="29" t="s">
        <v>799</v>
      </c>
    </row>
    <row r="236" spans="1:36" ht="16.350000000000001" customHeight="1" x14ac:dyDescent="0.2">
      <c r="A236" s="34" t="s">
        <v>804</v>
      </c>
      <c r="B236" s="67" t="s">
        <v>124</v>
      </c>
      <c r="C236" s="35" t="s">
        <v>411</v>
      </c>
      <c r="D236" s="15" t="s">
        <v>161</v>
      </c>
      <c r="E236" s="35" t="s">
        <v>22</v>
      </c>
      <c r="F236" s="37">
        <v>44197</v>
      </c>
      <c r="G236" s="37">
        <v>2601259</v>
      </c>
      <c r="H236" s="35" t="s">
        <v>4</v>
      </c>
      <c r="I236" s="35" t="s">
        <v>13</v>
      </c>
      <c r="J236" s="58" t="s">
        <v>805</v>
      </c>
      <c r="L236" s="18" t="s">
        <v>2</v>
      </c>
      <c r="M236" s="19">
        <f t="shared" si="34"/>
        <v>9022</v>
      </c>
      <c r="N236" s="19" t="str">
        <f t="shared" si="35"/>
        <v>01</v>
      </c>
      <c r="O236" s="19" t="str">
        <f t="shared" si="36"/>
        <v>01</v>
      </c>
      <c r="P236" s="18" t="str">
        <f t="shared" si="37"/>
        <v>90220101</v>
      </c>
      <c r="Q236" s="20"/>
      <c r="R236" s="18" t="s">
        <v>27</v>
      </c>
      <c r="S236" s="18">
        <f t="shared" ca="1" si="38"/>
        <v>2022</v>
      </c>
      <c r="T236" s="21">
        <f t="shared" ca="1" si="39"/>
        <v>12</v>
      </c>
      <c r="U236" s="21" t="str">
        <f t="shared" ca="1" si="40"/>
        <v>05</v>
      </c>
      <c r="V236" s="21" t="str">
        <f t="shared" ca="1" si="41"/>
        <v>20221205</v>
      </c>
      <c r="Z236" s="6" t="s">
        <v>799</v>
      </c>
    </row>
    <row r="237" spans="1:36" ht="16.350000000000001" customHeight="1" x14ac:dyDescent="0.2">
      <c r="A237" s="34" t="s">
        <v>810</v>
      </c>
      <c r="B237" s="66">
        <v>5271731</v>
      </c>
      <c r="C237" s="35" t="s">
        <v>811</v>
      </c>
      <c r="D237" s="15" t="s">
        <v>161</v>
      </c>
      <c r="E237" s="35" t="s">
        <v>22</v>
      </c>
      <c r="F237" s="36">
        <v>44197</v>
      </c>
      <c r="G237" s="37">
        <v>2601259</v>
      </c>
      <c r="H237" s="35" t="s">
        <v>4</v>
      </c>
      <c r="I237" s="35" t="s">
        <v>19</v>
      </c>
      <c r="J237" s="58" t="s">
        <v>812</v>
      </c>
      <c r="L237" s="18" t="s">
        <v>2</v>
      </c>
      <c r="M237" s="19">
        <f t="shared" si="34"/>
        <v>9022</v>
      </c>
      <c r="N237" s="19" t="str">
        <f t="shared" si="35"/>
        <v>01</v>
      </c>
      <c r="O237" s="19" t="str">
        <f t="shared" si="36"/>
        <v>01</v>
      </c>
      <c r="P237" s="18" t="str">
        <f t="shared" si="37"/>
        <v>90220101</v>
      </c>
      <c r="Q237" s="20"/>
      <c r="R237" s="18" t="s">
        <v>27</v>
      </c>
      <c r="S237" s="18">
        <f t="shared" ca="1" si="38"/>
        <v>2022</v>
      </c>
      <c r="T237" s="21">
        <f t="shared" ca="1" si="39"/>
        <v>12</v>
      </c>
      <c r="U237" s="21" t="str">
        <f t="shared" ca="1" si="40"/>
        <v>05</v>
      </c>
      <c r="V237" s="21" t="str">
        <f t="shared" ca="1" si="41"/>
        <v>20221205</v>
      </c>
      <c r="Z237" s="29" t="s">
        <v>799</v>
      </c>
    </row>
    <row r="238" spans="1:36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430</v>
      </c>
      <c r="F238" s="16" t="s">
        <v>578</v>
      </c>
      <c r="G238" s="37" t="s">
        <v>578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4"/>
        <v>#VALUE!</v>
      </c>
      <c r="N238" s="19" t="e">
        <f t="shared" si="35"/>
        <v>#VALUE!</v>
      </c>
      <c r="O238" s="19" t="e">
        <f t="shared" si="36"/>
        <v>#VALUE!</v>
      </c>
      <c r="P238" s="18" t="e">
        <f t="shared" si="37"/>
        <v>#VALUE!</v>
      </c>
      <c r="Q238" s="20"/>
      <c r="R238" s="18" t="s">
        <v>27</v>
      </c>
      <c r="S238" s="18">
        <f t="shared" ca="1" si="38"/>
        <v>2022</v>
      </c>
      <c r="T238" s="21">
        <f t="shared" ca="1" si="39"/>
        <v>12</v>
      </c>
      <c r="U238" s="21" t="str">
        <f t="shared" ca="1" si="40"/>
        <v>05</v>
      </c>
      <c r="V238" s="21" t="str">
        <f t="shared" ca="1" si="41"/>
        <v>20221205</v>
      </c>
      <c r="Z238" s="6" t="s">
        <v>627</v>
      </c>
    </row>
    <row r="239" spans="1:36" ht="16.350000000000001" customHeight="1" x14ac:dyDescent="0.2">
      <c r="A239" s="34" t="s">
        <v>806</v>
      </c>
      <c r="B239" s="67" t="s">
        <v>369</v>
      </c>
      <c r="C239" s="35" t="s">
        <v>370</v>
      </c>
      <c r="D239" s="15" t="s">
        <v>161</v>
      </c>
      <c r="E239" s="35" t="s">
        <v>22</v>
      </c>
      <c r="F239" s="36">
        <v>44197</v>
      </c>
      <c r="G239" s="37">
        <v>2601259</v>
      </c>
      <c r="H239" s="35" t="s">
        <v>4</v>
      </c>
      <c r="I239" s="35" t="s">
        <v>19</v>
      </c>
      <c r="J239" s="58" t="s">
        <v>807</v>
      </c>
      <c r="L239" s="18" t="s">
        <v>2</v>
      </c>
      <c r="M239" s="19">
        <f t="shared" si="34"/>
        <v>9022</v>
      </c>
      <c r="N239" s="19" t="str">
        <f t="shared" si="35"/>
        <v>01</v>
      </c>
      <c r="O239" s="19" t="str">
        <f t="shared" si="36"/>
        <v>01</v>
      </c>
      <c r="P239" s="18" t="str">
        <f t="shared" si="37"/>
        <v>90220101</v>
      </c>
      <c r="Q239" s="20"/>
      <c r="R239" s="18" t="s">
        <v>27</v>
      </c>
      <c r="S239" s="18">
        <f t="shared" ca="1" si="38"/>
        <v>2022</v>
      </c>
      <c r="T239" s="21">
        <f t="shared" ca="1" si="39"/>
        <v>12</v>
      </c>
      <c r="U239" s="21" t="str">
        <f t="shared" ca="1" si="40"/>
        <v>05</v>
      </c>
      <c r="V239" s="21" t="str">
        <f t="shared" ca="1" si="41"/>
        <v>20221205</v>
      </c>
      <c r="Z239" s="29" t="s">
        <v>799</v>
      </c>
    </row>
    <row r="240" spans="1:36" ht="16.350000000000001" hidden="1" customHeight="1" x14ac:dyDescent="0.2">
      <c r="A240" s="34" t="s">
        <v>801</v>
      </c>
      <c r="B240" s="67" t="s">
        <v>801</v>
      </c>
      <c r="C240" s="35" t="s">
        <v>428</v>
      </c>
      <c r="D240" s="15" t="s">
        <v>428</v>
      </c>
      <c r="E240" s="35" t="s">
        <v>430</v>
      </c>
      <c r="F240" s="36" t="s">
        <v>578</v>
      </c>
      <c r="G240" s="37" t="s">
        <v>578</v>
      </c>
      <c r="H240" s="35" t="s">
        <v>578</v>
      </c>
      <c r="I240" s="35" t="s">
        <v>138</v>
      </c>
      <c r="J240" s="58" t="s">
        <v>4</v>
      </c>
      <c r="L240" s="18" t="s">
        <v>2</v>
      </c>
      <c r="M240" s="19" t="e">
        <f t="shared" si="34"/>
        <v>#VALUE!</v>
      </c>
      <c r="N240" s="19" t="e">
        <f t="shared" si="35"/>
        <v>#VALUE!</v>
      </c>
      <c r="O240" s="19" t="e">
        <f t="shared" si="36"/>
        <v>#VALUE!</v>
      </c>
      <c r="P240" s="18" t="e">
        <f t="shared" ref="P240:P292" si="42">CONCATENATE(M240,N240,O240)</f>
        <v>#VALUE!</v>
      </c>
      <c r="Q240" s="20"/>
      <c r="R240" s="18" t="s">
        <v>27</v>
      </c>
      <c r="S240" s="18">
        <f t="shared" ref="S240:S292" ca="1" si="43">YEAR(TODAY())</f>
        <v>2022</v>
      </c>
      <c r="T240" s="21">
        <f t="shared" ref="T240:T290" ca="1" si="44">IF(MONTH(TODAY())&lt;10,CONCATENATE(0,MONTH(TODAY())),MONTH(TODAY()))</f>
        <v>12</v>
      </c>
      <c r="U240" s="21" t="str">
        <f t="shared" ref="U240:U290" ca="1" si="45">IF(DAY(TODAY())&lt;10,CONCATENATE(0,DAY(TODAY())),DAY(TODAY()))</f>
        <v>05</v>
      </c>
      <c r="V240" s="21" t="str">
        <f t="shared" ref="V240:V292" ca="1" si="46">CONCATENATE(S240,T240,U240)</f>
        <v>20221205</v>
      </c>
      <c r="Z240" s="6" t="s">
        <v>628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</row>
    <row r="241" spans="1:36" ht="16.350000000000001" customHeight="1" x14ac:dyDescent="0.2">
      <c r="A241" s="34" t="s">
        <v>808</v>
      </c>
      <c r="B241" s="67" t="s">
        <v>4</v>
      </c>
      <c r="C241" s="35" t="s">
        <v>808</v>
      </c>
      <c r="D241" s="15" t="s">
        <v>572</v>
      </c>
      <c r="E241" s="35" t="s">
        <v>430</v>
      </c>
      <c r="F241" s="37">
        <v>44197</v>
      </c>
      <c r="G241" s="37">
        <v>2601259</v>
      </c>
      <c r="H241" s="35" t="s">
        <v>4</v>
      </c>
      <c r="I241" s="35" t="s">
        <v>13</v>
      </c>
      <c r="J241" s="58" t="s">
        <v>809</v>
      </c>
      <c r="L241" s="18" t="s">
        <v>2</v>
      </c>
      <c r="M241" s="19">
        <f t="shared" si="34"/>
        <v>9022</v>
      </c>
      <c r="N241" s="19" t="str">
        <f t="shared" si="35"/>
        <v>01</v>
      </c>
      <c r="O241" s="19" t="str">
        <f t="shared" si="36"/>
        <v>01</v>
      </c>
      <c r="P241" s="18" t="str">
        <f t="shared" si="42"/>
        <v>90220101</v>
      </c>
      <c r="Q241" s="20"/>
      <c r="R241" s="18" t="s">
        <v>27</v>
      </c>
      <c r="S241" s="18">
        <f t="shared" ca="1" si="43"/>
        <v>2022</v>
      </c>
      <c r="T241" s="21">
        <f t="shared" ca="1" si="44"/>
        <v>12</v>
      </c>
      <c r="U241" s="21" t="str">
        <f t="shared" ca="1" si="45"/>
        <v>05</v>
      </c>
      <c r="V241" s="21" t="str">
        <f t="shared" ca="1" si="46"/>
        <v>20221205</v>
      </c>
      <c r="Z241" s="29" t="s">
        <v>799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</row>
    <row r="242" spans="1:36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482</v>
      </c>
      <c r="E242" s="15" t="s">
        <v>22</v>
      </c>
      <c r="F242" s="16" t="s">
        <v>578</v>
      </c>
      <c r="G242" s="17" t="s">
        <v>627</v>
      </c>
      <c r="H242" s="15" t="s">
        <v>14</v>
      </c>
      <c r="I242" s="15" t="s">
        <v>19</v>
      </c>
      <c r="J242" s="54" t="s">
        <v>601</v>
      </c>
      <c r="L242" s="18" t="s">
        <v>2</v>
      </c>
      <c r="M242" s="19" t="e">
        <f t="shared" si="34"/>
        <v>#VALUE!</v>
      </c>
      <c r="N242" s="19" t="e">
        <f t="shared" si="35"/>
        <v>#VALUE!</v>
      </c>
      <c r="O242" s="19" t="e">
        <f t="shared" si="36"/>
        <v>#VALUE!</v>
      </c>
      <c r="P242" s="18" t="e">
        <f t="shared" si="42"/>
        <v>#VALUE!</v>
      </c>
      <c r="Q242" s="20"/>
      <c r="R242" s="18" t="s">
        <v>27</v>
      </c>
      <c r="S242" s="18">
        <f t="shared" ca="1" si="43"/>
        <v>2022</v>
      </c>
      <c r="T242" s="21">
        <f t="shared" ca="1" si="44"/>
        <v>12</v>
      </c>
      <c r="U242" s="21" t="str">
        <f t="shared" ca="1" si="45"/>
        <v>05</v>
      </c>
      <c r="V242" s="21" t="str">
        <f t="shared" ca="1" si="46"/>
        <v>20221205</v>
      </c>
      <c r="Z242" s="6" t="s">
        <v>628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</row>
    <row r="243" spans="1:36" ht="16.350000000000001" hidden="1" customHeight="1" x14ac:dyDescent="0.2">
      <c r="A243" s="14" t="s">
        <v>107</v>
      </c>
      <c r="B243" s="59" t="s">
        <v>818</v>
      </c>
      <c r="C243" s="15" t="s">
        <v>108</v>
      </c>
      <c r="D243" s="15" t="s">
        <v>158</v>
      </c>
      <c r="E243" s="15" t="s">
        <v>22</v>
      </c>
      <c r="F243" s="16" t="s">
        <v>578</v>
      </c>
      <c r="G243" s="17" t="s">
        <v>627</v>
      </c>
      <c r="H243" s="15" t="s">
        <v>14</v>
      </c>
      <c r="I243" s="15" t="s">
        <v>29</v>
      </c>
      <c r="J243" s="54" t="s">
        <v>627</v>
      </c>
      <c r="L243" s="18" t="s">
        <v>2</v>
      </c>
      <c r="M243" s="19" t="e">
        <f t="shared" si="34"/>
        <v>#VALUE!</v>
      </c>
      <c r="N243" s="19" t="e">
        <f t="shared" si="35"/>
        <v>#VALUE!</v>
      </c>
      <c r="O243" s="19" t="e">
        <f t="shared" si="36"/>
        <v>#VALUE!</v>
      </c>
      <c r="P243" s="18" t="e">
        <f t="shared" si="42"/>
        <v>#VALUE!</v>
      </c>
      <c r="Q243" s="20"/>
      <c r="R243" s="18" t="s">
        <v>27</v>
      </c>
      <c r="S243" s="18">
        <f t="shared" ca="1" si="43"/>
        <v>2022</v>
      </c>
      <c r="T243" s="21">
        <f t="shared" ca="1" si="44"/>
        <v>12</v>
      </c>
      <c r="U243" s="21" t="str">
        <f t="shared" ca="1" si="45"/>
        <v>05</v>
      </c>
      <c r="V243" s="21" t="str">
        <f t="shared" ca="1" si="46"/>
        <v>20221205</v>
      </c>
      <c r="Z243" s="29" t="s">
        <v>628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</row>
    <row r="244" spans="1:36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578</v>
      </c>
      <c r="G244" s="17" t="s">
        <v>627</v>
      </c>
      <c r="H244" s="15" t="s">
        <v>14</v>
      </c>
      <c r="I244" s="15" t="s">
        <v>19</v>
      </c>
      <c r="J244" s="54" t="s">
        <v>726</v>
      </c>
      <c r="L244" s="18" t="s">
        <v>2</v>
      </c>
      <c r="M244" s="19" t="e">
        <f t="shared" si="34"/>
        <v>#VALUE!</v>
      </c>
      <c r="N244" s="19" t="e">
        <f t="shared" si="35"/>
        <v>#VALUE!</v>
      </c>
      <c r="O244" s="19" t="e">
        <f t="shared" si="36"/>
        <v>#VALUE!</v>
      </c>
      <c r="P244" s="18" t="e">
        <f t="shared" si="42"/>
        <v>#VALUE!</v>
      </c>
      <c r="Q244" s="20"/>
      <c r="R244" s="18" t="s">
        <v>27</v>
      </c>
      <c r="S244" s="18">
        <f t="shared" ca="1" si="43"/>
        <v>2022</v>
      </c>
      <c r="T244" s="21">
        <f t="shared" ca="1" si="44"/>
        <v>12</v>
      </c>
      <c r="U244" s="21" t="str">
        <f t="shared" ca="1" si="45"/>
        <v>05</v>
      </c>
      <c r="V244" s="21" t="str">
        <f t="shared" ca="1" si="46"/>
        <v>20221205</v>
      </c>
      <c r="Z244" s="6" t="s">
        <v>627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</row>
    <row r="245" spans="1:36" ht="16.350000000000001" hidden="1" customHeight="1" x14ac:dyDescent="0.2">
      <c r="A245" s="14" t="s">
        <v>573</v>
      </c>
      <c r="B245" s="60" t="s">
        <v>4</v>
      </c>
      <c r="C245" s="15" t="s">
        <v>574</v>
      </c>
      <c r="D245" s="15" t="s">
        <v>572</v>
      </c>
      <c r="E245" s="15" t="s">
        <v>430</v>
      </c>
      <c r="F245" s="16" t="s">
        <v>578</v>
      </c>
      <c r="G245" s="37" t="s">
        <v>627</v>
      </c>
      <c r="H245" s="15" t="s">
        <v>14</v>
      </c>
      <c r="I245" s="15" t="s">
        <v>13</v>
      </c>
      <c r="J245" s="54" t="s">
        <v>679</v>
      </c>
      <c r="L245" s="18" t="s">
        <v>2</v>
      </c>
      <c r="M245" s="19" t="e">
        <f t="shared" si="34"/>
        <v>#VALUE!</v>
      </c>
      <c r="N245" s="19" t="e">
        <f t="shared" si="35"/>
        <v>#VALUE!</v>
      </c>
      <c r="O245" s="19" t="e">
        <f t="shared" si="36"/>
        <v>#VALUE!</v>
      </c>
      <c r="P245" s="18" t="e">
        <f t="shared" si="42"/>
        <v>#VALUE!</v>
      </c>
      <c r="Q245" s="20"/>
      <c r="R245" s="18" t="s">
        <v>27</v>
      </c>
      <c r="S245" s="18">
        <f t="shared" ca="1" si="43"/>
        <v>2022</v>
      </c>
      <c r="T245" s="21">
        <f t="shared" ca="1" si="44"/>
        <v>12</v>
      </c>
      <c r="U245" s="21" t="str">
        <f t="shared" ca="1" si="45"/>
        <v>05</v>
      </c>
      <c r="V245" s="21" t="str">
        <f t="shared" ca="1" si="46"/>
        <v>20221205</v>
      </c>
      <c r="Z245" s="29" t="s">
        <v>628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</row>
    <row r="246" spans="1:36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651</v>
      </c>
      <c r="H246" s="15" t="s">
        <v>14</v>
      </c>
      <c r="I246" s="15" t="s">
        <v>13</v>
      </c>
      <c r="J246" s="54" t="s">
        <v>652</v>
      </c>
      <c r="L246" s="18" t="s">
        <v>2</v>
      </c>
      <c r="M246" s="19" t="e">
        <f t="shared" si="34"/>
        <v>#VALUE!</v>
      </c>
      <c r="N246" s="19" t="e">
        <f t="shared" si="35"/>
        <v>#VALUE!</v>
      </c>
      <c r="O246" s="19" t="e">
        <f t="shared" si="36"/>
        <v>#VALUE!</v>
      </c>
      <c r="P246" s="18" t="e">
        <f t="shared" si="42"/>
        <v>#VALUE!</v>
      </c>
      <c r="Q246" s="20"/>
      <c r="R246" s="18" t="s">
        <v>27</v>
      </c>
      <c r="S246" s="18">
        <f t="shared" ca="1" si="43"/>
        <v>2022</v>
      </c>
      <c r="T246" s="21">
        <f t="shared" ca="1" si="44"/>
        <v>12</v>
      </c>
      <c r="U246" s="21" t="str">
        <f t="shared" ca="1" si="45"/>
        <v>05</v>
      </c>
      <c r="V246" s="21" t="str">
        <f t="shared" ca="1" si="46"/>
        <v>20221205</v>
      </c>
      <c r="Z246" s="29" t="s">
        <v>651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6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651</v>
      </c>
      <c r="H247" s="15" t="s">
        <v>14</v>
      </c>
      <c r="I247" s="15" t="s">
        <v>13</v>
      </c>
      <c r="J247" s="54" t="s">
        <v>652</v>
      </c>
      <c r="L247" s="18" t="s">
        <v>2</v>
      </c>
      <c r="M247" s="19" t="e">
        <f t="shared" si="34"/>
        <v>#VALUE!</v>
      </c>
      <c r="N247" s="19" t="e">
        <f t="shared" si="35"/>
        <v>#VALUE!</v>
      </c>
      <c r="O247" s="19" t="e">
        <f t="shared" si="36"/>
        <v>#VALUE!</v>
      </c>
      <c r="P247" s="18" t="e">
        <f t="shared" si="42"/>
        <v>#VALUE!</v>
      </c>
      <c r="Q247" s="20"/>
      <c r="R247" s="18" t="s">
        <v>27</v>
      </c>
      <c r="S247" s="18">
        <f t="shared" ca="1" si="43"/>
        <v>2022</v>
      </c>
      <c r="T247" s="21">
        <f t="shared" ca="1" si="44"/>
        <v>12</v>
      </c>
      <c r="U247" s="21" t="str">
        <f t="shared" ca="1" si="45"/>
        <v>05</v>
      </c>
      <c r="V247" s="21" t="str">
        <f t="shared" ca="1" si="46"/>
        <v>20221205</v>
      </c>
      <c r="Z247" s="6" t="s">
        <v>651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6" ht="16.350000000000001" customHeight="1" x14ac:dyDescent="0.2">
      <c r="A248" s="14" t="s">
        <v>751</v>
      </c>
      <c r="B248" s="59">
        <v>58900535</v>
      </c>
      <c r="C248" s="15" t="s">
        <v>752</v>
      </c>
      <c r="D248" s="15" t="s">
        <v>468</v>
      </c>
      <c r="E248" s="15" t="s">
        <v>430</v>
      </c>
      <c r="F248" s="16" t="s">
        <v>578</v>
      </c>
      <c r="G248" s="37" t="s">
        <v>578</v>
      </c>
      <c r="H248" s="15" t="s">
        <v>578</v>
      </c>
      <c r="I248" s="15" t="s">
        <v>23</v>
      </c>
      <c r="J248" s="54" t="s">
        <v>753</v>
      </c>
      <c r="L248" s="18" t="s">
        <v>2</v>
      </c>
      <c r="M248" s="19" t="e">
        <f t="shared" si="34"/>
        <v>#VALUE!</v>
      </c>
      <c r="N248" s="19" t="e">
        <f t="shared" si="35"/>
        <v>#VALUE!</v>
      </c>
      <c r="O248" s="19" t="e">
        <f t="shared" si="36"/>
        <v>#VALUE!</v>
      </c>
      <c r="P248" s="18" t="e">
        <f t="shared" si="42"/>
        <v>#VALUE!</v>
      </c>
      <c r="Q248" s="20"/>
      <c r="R248" s="18" t="s">
        <v>27</v>
      </c>
      <c r="S248" s="18">
        <f t="shared" ca="1" si="43"/>
        <v>2022</v>
      </c>
      <c r="T248" s="21">
        <f t="shared" ca="1" si="44"/>
        <v>12</v>
      </c>
      <c r="U248" s="21" t="str">
        <f t="shared" ca="1" si="45"/>
        <v>05</v>
      </c>
      <c r="V248" s="21" t="str">
        <f t="shared" ca="1" si="46"/>
        <v>20221205</v>
      </c>
      <c r="Z248" s="6" t="s">
        <v>799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</row>
    <row r="249" spans="1:36" ht="16.350000000000001" customHeight="1" x14ac:dyDescent="0.2">
      <c r="L249" s="18" t="s">
        <v>2</v>
      </c>
      <c r="M249" s="19">
        <f t="shared" si="34"/>
        <v>1900</v>
      </c>
      <c r="N249" s="19" t="str">
        <f t="shared" si="35"/>
        <v>01</v>
      </c>
      <c r="O249" s="19" t="str">
        <f t="shared" si="36"/>
        <v>00</v>
      </c>
      <c r="P249" s="18" t="str">
        <f t="shared" si="42"/>
        <v>19000100</v>
      </c>
      <c r="Q249" s="20"/>
      <c r="R249" s="18" t="s">
        <v>27</v>
      </c>
      <c r="S249" s="18">
        <f t="shared" ca="1" si="43"/>
        <v>2022</v>
      </c>
      <c r="T249" s="21">
        <f t="shared" ca="1" si="44"/>
        <v>12</v>
      </c>
      <c r="U249" s="21" t="str">
        <f t="shared" ca="1" si="45"/>
        <v>05</v>
      </c>
      <c r="V249" s="21" t="str">
        <f t="shared" ca="1" si="46"/>
        <v>20221205</v>
      </c>
    </row>
    <row r="250" spans="1:36" ht="16.350000000000001" customHeight="1" x14ac:dyDescent="0.2">
      <c r="L250" s="18" t="s">
        <v>2</v>
      </c>
      <c r="M250" s="19">
        <f t="shared" si="34"/>
        <v>1900</v>
      </c>
      <c r="N250" s="19" t="str">
        <f t="shared" si="35"/>
        <v>01</v>
      </c>
      <c r="O250" s="19" t="str">
        <f t="shared" si="36"/>
        <v>00</v>
      </c>
      <c r="P250" s="18" t="str">
        <f t="shared" si="42"/>
        <v>19000100</v>
      </c>
      <c r="Q250" s="20"/>
      <c r="R250" s="18" t="s">
        <v>27</v>
      </c>
      <c r="S250" s="18">
        <f t="shared" ca="1" si="43"/>
        <v>2022</v>
      </c>
      <c r="T250" s="21">
        <f t="shared" ca="1" si="44"/>
        <v>12</v>
      </c>
      <c r="U250" s="21" t="str">
        <f t="shared" ca="1" si="45"/>
        <v>05</v>
      </c>
      <c r="V250" s="21" t="str">
        <f t="shared" ca="1" si="46"/>
        <v>20221205</v>
      </c>
    </row>
    <row r="251" spans="1:36" ht="16.350000000000001" customHeight="1" x14ac:dyDescent="0.2">
      <c r="L251" s="18" t="s">
        <v>2</v>
      </c>
      <c r="M251" s="19">
        <f t="shared" ref="M251:M314" si="47">YEAR(G251)</f>
        <v>1900</v>
      </c>
      <c r="N251" s="19" t="str">
        <f t="shared" ref="N251:N314" si="48">IF(MONTH(G251)&lt;10,CONCATENATE(0,MONTH(G251)),MONTH(G251))</f>
        <v>01</v>
      </c>
      <c r="O251" s="19" t="str">
        <f t="shared" ref="O251:O314" si="49">IF(DAY(G251)&lt;10,CONCATENATE(0,DAY(G251)),DAY(G251))</f>
        <v>00</v>
      </c>
      <c r="P251" s="18" t="str">
        <f t="shared" si="42"/>
        <v>19000100</v>
      </c>
      <c r="Q251" s="20"/>
      <c r="R251" s="18" t="s">
        <v>27</v>
      </c>
      <c r="S251" s="18">
        <f t="shared" ca="1" si="43"/>
        <v>2022</v>
      </c>
      <c r="T251" s="21">
        <f t="shared" ca="1" si="44"/>
        <v>12</v>
      </c>
      <c r="U251" s="21" t="str">
        <f t="shared" ca="1" si="45"/>
        <v>05</v>
      </c>
      <c r="V251" s="21" t="str">
        <f t="shared" ca="1" si="46"/>
        <v>20221205</v>
      </c>
    </row>
    <row r="252" spans="1:36" ht="16.350000000000001" customHeight="1" x14ac:dyDescent="0.2">
      <c r="L252" s="18" t="s">
        <v>2</v>
      </c>
      <c r="M252" s="19">
        <f t="shared" si="47"/>
        <v>1900</v>
      </c>
      <c r="N252" s="19" t="str">
        <f t="shared" si="48"/>
        <v>01</v>
      </c>
      <c r="O252" s="19" t="str">
        <f t="shared" si="49"/>
        <v>00</v>
      </c>
      <c r="P252" s="18" t="str">
        <f t="shared" si="42"/>
        <v>19000100</v>
      </c>
      <c r="Q252" s="20"/>
      <c r="R252" s="18" t="s">
        <v>27</v>
      </c>
      <c r="S252" s="18">
        <f t="shared" ca="1" si="43"/>
        <v>2022</v>
      </c>
      <c r="T252" s="21">
        <f t="shared" ca="1" si="44"/>
        <v>12</v>
      </c>
      <c r="U252" s="21" t="str">
        <f t="shared" ca="1" si="45"/>
        <v>05</v>
      </c>
      <c r="V252" s="21" t="str">
        <f t="shared" ca="1" si="46"/>
        <v>20221205</v>
      </c>
    </row>
    <row r="253" spans="1:36" ht="16.350000000000001" customHeight="1" x14ac:dyDescent="0.2">
      <c r="L253" s="18" t="s">
        <v>2</v>
      </c>
      <c r="M253" s="19">
        <f t="shared" si="47"/>
        <v>1900</v>
      </c>
      <c r="N253" s="19" t="str">
        <f t="shared" si="48"/>
        <v>01</v>
      </c>
      <c r="O253" s="19" t="str">
        <f t="shared" si="49"/>
        <v>00</v>
      </c>
      <c r="P253" s="18" t="str">
        <f t="shared" si="42"/>
        <v>19000100</v>
      </c>
      <c r="Q253" s="20"/>
      <c r="R253" s="18" t="s">
        <v>27</v>
      </c>
      <c r="S253" s="18">
        <f t="shared" ca="1" si="43"/>
        <v>2022</v>
      </c>
      <c r="T253" s="21">
        <f t="shared" ca="1" si="44"/>
        <v>12</v>
      </c>
      <c r="U253" s="21" t="str">
        <f t="shared" ca="1" si="45"/>
        <v>05</v>
      </c>
      <c r="V253" s="21" t="str">
        <f t="shared" ca="1" si="46"/>
        <v>20221205</v>
      </c>
    </row>
    <row r="254" spans="1:36" ht="16.350000000000001" customHeight="1" x14ac:dyDescent="0.2">
      <c r="L254" s="18" t="s">
        <v>2</v>
      </c>
      <c r="M254" s="19">
        <f t="shared" si="47"/>
        <v>1900</v>
      </c>
      <c r="N254" s="19" t="str">
        <f t="shared" si="48"/>
        <v>01</v>
      </c>
      <c r="O254" s="19" t="str">
        <f t="shared" si="49"/>
        <v>00</v>
      </c>
      <c r="P254" s="18" t="str">
        <f t="shared" si="42"/>
        <v>19000100</v>
      </c>
      <c r="Q254" s="20"/>
      <c r="R254" s="18" t="s">
        <v>27</v>
      </c>
      <c r="S254" s="18">
        <f t="shared" ca="1" si="43"/>
        <v>2022</v>
      </c>
      <c r="T254" s="21">
        <f t="shared" ca="1" si="44"/>
        <v>12</v>
      </c>
      <c r="U254" s="21" t="str">
        <f t="shared" ca="1" si="45"/>
        <v>05</v>
      </c>
      <c r="V254" s="21" t="str">
        <f t="shared" ca="1" si="46"/>
        <v>20221205</v>
      </c>
    </row>
    <row r="255" spans="1:36" ht="16.350000000000001" customHeight="1" x14ac:dyDescent="0.2">
      <c r="L255" s="18" t="s">
        <v>2</v>
      </c>
      <c r="M255" s="19">
        <f t="shared" si="47"/>
        <v>1900</v>
      </c>
      <c r="N255" s="19" t="str">
        <f t="shared" si="48"/>
        <v>01</v>
      </c>
      <c r="O255" s="19" t="str">
        <f t="shared" si="49"/>
        <v>00</v>
      </c>
      <c r="P255" s="18" t="str">
        <f t="shared" si="42"/>
        <v>19000100</v>
      </c>
      <c r="Q255" s="20"/>
      <c r="R255" s="18" t="s">
        <v>27</v>
      </c>
      <c r="S255" s="18">
        <f t="shared" ca="1" si="43"/>
        <v>2022</v>
      </c>
      <c r="T255" s="21">
        <f t="shared" ca="1" si="44"/>
        <v>12</v>
      </c>
      <c r="U255" s="21" t="str">
        <f t="shared" ca="1" si="45"/>
        <v>05</v>
      </c>
      <c r="V255" s="21" t="str">
        <f t="shared" ca="1" si="46"/>
        <v>20221205</v>
      </c>
    </row>
    <row r="256" spans="1:36" ht="16.350000000000001" customHeight="1" x14ac:dyDescent="0.2">
      <c r="L256" s="18" t="s">
        <v>2</v>
      </c>
      <c r="M256" s="19">
        <f t="shared" si="47"/>
        <v>1900</v>
      </c>
      <c r="N256" s="19" t="str">
        <f t="shared" si="48"/>
        <v>01</v>
      </c>
      <c r="O256" s="19" t="str">
        <f t="shared" si="49"/>
        <v>00</v>
      </c>
      <c r="P256" s="18" t="str">
        <f t="shared" si="42"/>
        <v>19000100</v>
      </c>
      <c r="Q256" s="20"/>
      <c r="R256" s="18" t="s">
        <v>27</v>
      </c>
      <c r="S256" s="18">
        <f t="shared" ca="1" si="43"/>
        <v>2022</v>
      </c>
      <c r="T256" s="21">
        <f t="shared" ca="1" si="44"/>
        <v>12</v>
      </c>
      <c r="U256" s="21" t="str">
        <f t="shared" ca="1" si="45"/>
        <v>05</v>
      </c>
      <c r="V256" s="21" t="str">
        <f t="shared" ca="1" si="46"/>
        <v>20221205</v>
      </c>
    </row>
    <row r="257" spans="12:22" ht="16.350000000000001" customHeight="1" x14ac:dyDescent="0.2">
      <c r="L257" s="18" t="s">
        <v>2</v>
      </c>
      <c r="M257" s="19">
        <f t="shared" si="47"/>
        <v>1900</v>
      </c>
      <c r="N257" s="19" t="str">
        <f t="shared" si="48"/>
        <v>01</v>
      </c>
      <c r="O257" s="19" t="str">
        <f t="shared" si="49"/>
        <v>00</v>
      </c>
      <c r="P257" s="18" t="str">
        <f t="shared" si="42"/>
        <v>19000100</v>
      </c>
      <c r="Q257" s="20"/>
      <c r="R257" s="18" t="s">
        <v>27</v>
      </c>
      <c r="S257" s="18">
        <f t="shared" ca="1" si="43"/>
        <v>2022</v>
      </c>
      <c r="T257" s="21">
        <f t="shared" ca="1" si="44"/>
        <v>12</v>
      </c>
      <c r="U257" s="21" t="str">
        <f t="shared" ca="1" si="45"/>
        <v>05</v>
      </c>
      <c r="V257" s="21" t="str">
        <f t="shared" ca="1" si="46"/>
        <v>20221205</v>
      </c>
    </row>
    <row r="258" spans="12:22" ht="16.350000000000001" customHeight="1" x14ac:dyDescent="0.2">
      <c r="L258" s="18" t="s">
        <v>2</v>
      </c>
      <c r="M258" s="19">
        <f t="shared" si="47"/>
        <v>1900</v>
      </c>
      <c r="N258" s="19" t="str">
        <f t="shared" si="48"/>
        <v>01</v>
      </c>
      <c r="O258" s="19" t="str">
        <f t="shared" si="49"/>
        <v>00</v>
      </c>
      <c r="P258" s="18" t="str">
        <f t="shared" si="42"/>
        <v>19000100</v>
      </c>
      <c r="Q258" s="20"/>
      <c r="R258" s="18" t="s">
        <v>27</v>
      </c>
      <c r="S258" s="18">
        <f t="shared" ca="1" si="43"/>
        <v>2022</v>
      </c>
      <c r="T258" s="21">
        <f t="shared" ca="1" si="44"/>
        <v>12</v>
      </c>
      <c r="U258" s="21" t="str">
        <f t="shared" ca="1" si="45"/>
        <v>05</v>
      </c>
      <c r="V258" s="21" t="str">
        <f t="shared" ca="1" si="46"/>
        <v>20221205</v>
      </c>
    </row>
    <row r="259" spans="12:22" ht="16.350000000000001" customHeight="1" x14ac:dyDescent="0.2">
      <c r="L259" s="18" t="s">
        <v>2</v>
      </c>
      <c r="M259" s="19">
        <f t="shared" si="47"/>
        <v>1900</v>
      </c>
      <c r="N259" s="19" t="str">
        <f t="shared" si="48"/>
        <v>01</v>
      </c>
      <c r="O259" s="19" t="str">
        <f t="shared" si="49"/>
        <v>00</v>
      </c>
      <c r="P259" s="18" t="str">
        <f t="shared" si="42"/>
        <v>19000100</v>
      </c>
      <c r="Q259" s="20"/>
      <c r="R259" s="18" t="s">
        <v>27</v>
      </c>
      <c r="S259" s="18">
        <f t="shared" ca="1" si="43"/>
        <v>2022</v>
      </c>
      <c r="T259" s="21">
        <f t="shared" ca="1" si="44"/>
        <v>12</v>
      </c>
      <c r="U259" s="21" t="str">
        <f t="shared" ca="1" si="45"/>
        <v>05</v>
      </c>
      <c r="V259" s="21" t="str">
        <f t="shared" ca="1" si="46"/>
        <v>20221205</v>
      </c>
    </row>
    <row r="260" spans="12:22" ht="16.350000000000001" customHeight="1" x14ac:dyDescent="0.2">
      <c r="L260" s="18" t="s">
        <v>2</v>
      </c>
      <c r="M260" s="19">
        <f t="shared" si="47"/>
        <v>1900</v>
      </c>
      <c r="N260" s="19" t="str">
        <f t="shared" si="48"/>
        <v>01</v>
      </c>
      <c r="O260" s="19" t="str">
        <f t="shared" si="49"/>
        <v>00</v>
      </c>
      <c r="P260" s="18" t="str">
        <f t="shared" si="42"/>
        <v>19000100</v>
      </c>
      <c r="Q260" s="20"/>
      <c r="R260" s="18" t="s">
        <v>27</v>
      </c>
      <c r="S260" s="18">
        <f t="shared" ca="1" si="43"/>
        <v>2022</v>
      </c>
      <c r="T260" s="21">
        <f t="shared" ca="1" si="44"/>
        <v>12</v>
      </c>
      <c r="U260" s="21" t="str">
        <f t="shared" ca="1" si="45"/>
        <v>05</v>
      </c>
      <c r="V260" s="21" t="str">
        <f t="shared" ca="1" si="46"/>
        <v>20221205</v>
      </c>
    </row>
    <row r="261" spans="12:22" ht="16.350000000000001" customHeight="1" x14ac:dyDescent="0.2">
      <c r="L261" s="18" t="s">
        <v>2</v>
      </c>
      <c r="M261" s="19">
        <f t="shared" si="47"/>
        <v>1900</v>
      </c>
      <c r="N261" s="19" t="str">
        <f t="shared" si="48"/>
        <v>01</v>
      </c>
      <c r="O261" s="19" t="str">
        <f t="shared" si="49"/>
        <v>00</v>
      </c>
      <c r="P261" s="18" t="str">
        <f t="shared" si="42"/>
        <v>19000100</v>
      </c>
      <c r="Q261" s="20"/>
      <c r="R261" s="18" t="s">
        <v>27</v>
      </c>
      <c r="S261" s="18">
        <f t="shared" ca="1" si="43"/>
        <v>2022</v>
      </c>
      <c r="T261" s="21">
        <f t="shared" ca="1" si="44"/>
        <v>12</v>
      </c>
      <c r="U261" s="21" t="str">
        <f t="shared" ca="1" si="45"/>
        <v>05</v>
      </c>
      <c r="V261" s="21" t="str">
        <f t="shared" ca="1" si="46"/>
        <v>20221205</v>
      </c>
    </row>
    <row r="262" spans="12:22" ht="16.350000000000001" customHeight="1" x14ac:dyDescent="0.2">
      <c r="L262" s="18" t="s">
        <v>2</v>
      </c>
      <c r="M262" s="19">
        <f t="shared" si="47"/>
        <v>1900</v>
      </c>
      <c r="N262" s="19" t="str">
        <f t="shared" si="48"/>
        <v>01</v>
      </c>
      <c r="O262" s="19" t="str">
        <f t="shared" si="49"/>
        <v>00</v>
      </c>
      <c r="P262" s="18" t="str">
        <f t="shared" si="42"/>
        <v>19000100</v>
      </c>
      <c r="Q262" s="20"/>
      <c r="R262" s="18" t="s">
        <v>27</v>
      </c>
      <c r="S262" s="18">
        <f t="shared" ca="1" si="43"/>
        <v>2022</v>
      </c>
      <c r="T262" s="21">
        <f t="shared" ca="1" si="44"/>
        <v>12</v>
      </c>
      <c r="U262" s="21" t="str">
        <f t="shared" ca="1" si="45"/>
        <v>05</v>
      </c>
      <c r="V262" s="21" t="str">
        <f t="shared" ca="1" si="46"/>
        <v>20221205</v>
      </c>
    </row>
    <row r="263" spans="12:22" ht="16.350000000000001" customHeight="1" x14ac:dyDescent="0.2">
      <c r="L263" s="18" t="s">
        <v>2</v>
      </c>
      <c r="M263" s="19">
        <f t="shared" si="47"/>
        <v>1900</v>
      </c>
      <c r="N263" s="19" t="str">
        <f t="shared" si="48"/>
        <v>01</v>
      </c>
      <c r="O263" s="19" t="str">
        <f t="shared" si="49"/>
        <v>00</v>
      </c>
      <c r="P263" s="18" t="str">
        <f t="shared" si="42"/>
        <v>19000100</v>
      </c>
      <c r="Q263" s="20"/>
      <c r="R263" s="18" t="s">
        <v>27</v>
      </c>
      <c r="S263" s="18">
        <f t="shared" ca="1" si="43"/>
        <v>2022</v>
      </c>
      <c r="T263" s="21">
        <f t="shared" ca="1" si="44"/>
        <v>12</v>
      </c>
      <c r="U263" s="21" t="str">
        <f t="shared" ca="1" si="45"/>
        <v>05</v>
      </c>
      <c r="V263" s="21" t="str">
        <f t="shared" ca="1" si="46"/>
        <v>20221205</v>
      </c>
    </row>
    <row r="264" spans="12:22" ht="16.350000000000001" customHeight="1" x14ac:dyDescent="0.2">
      <c r="L264" s="18" t="s">
        <v>2</v>
      </c>
      <c r="M264" s="19">
        <f t="shared" si="47"/>
        <v>1900</v>
      </c>
      <c r="N264" s="19" t="str">
        <f t="shared" si="48"/>
        <v>01</v>
      </c>
      <c r="O264" s="19" t="str">
        <f t="shared" si="49"/>
        <v>00</v>
      </c>
      <c r="P264" s="18" t="str">
        <f t="shared" si="42"/>
        <v>19000100</v>
      </c>
      <c r="Q264" s="20"/>
      <c r="R264" s="18" t="s">
        <v>27</v>
      </c>
      <c r="S264" s="18">
        <f t="shared" ca="1" si="43"/>
        <v>2022</v>
      </c>
      <c r="T264" s="21">
        <f t="shared" ca="1" si="44"/>
        <v>12</v>
      </c>
      <c r="U264" s="21" t="str">
        <f t="shared" ca="1" si="45"/>
        <v>05</v>
      </c>
      <c r="V264" s="21" t="str">
        <f t="shared" ca="1" si="46"/>
        <v>20221205</v>
      </c>
    </row>
    <row r="265" spans="12:22" ht="16.350000000000001" customHeight="1" x14ac:dyDescent="0.2">
      <c r="L265" s="18" t="s">
        <v>2</v>
      </c>
      <c r="M265" s="19">
        <f t="shared" si="47"/>
        <v>1900</v>
      </c>
      <c r="N265" s="19" t="str">
        <f t="shared" si="48"/>
        <v>01</v>
      </c>
      <c r="O265" s="19" t="str">
        <f t="shared" si="49"/>
        <v>00</v>
      </c>
      <c r="P265" s="18" t="str">
        <f t="shared" si="42"/>
        <v>19000100</v>
      </c>
      <c r="Q265" s="20"/>
      <c r="R265" s="18" t="s">
        <v>27</v>
      </c>
      <c r="S265" s="18">
        <f t="shared" ca="1" si="43"/>
        <v>2022</v>
      </c>
      <c r="T265" s="21">
        <f t="shared" ca="1" si="44"/>
        <v>12</v>
      </c>
      <c r="U265" s="21" t="str">
        <f t="shared" ca="1" si="45"/>
        <v>05</v>
      </c>
      <c r="V265" s="21" t="str">
        <f t="shared" ca="1" si="46"/>
        <v>20221205</v>
      </c>
    </row>
    <row r="266" spans="12:22" ht="16.350000000000001" customHeight="1" x14ac:dyDescent="0.2">
      <c r="L266" s="18" t="s">
        <v>2</v>
      </c>
      <c r="M266" s="19">
        <f t="shared" si="47"/>
        <v>1900</v>
      </c>
      <c r="N266" s="19" t="str">
        <f t="shared" si="48"/>
        <v>01</v>
      </c>
      <c r="O266" s="19" t="str">
        <f t="shared" si="49"/>
        <v>00</v>
      </c>
      <c r="P266" s="18" t="str">
        <f t="shared" si="42"/>
        <v>19000100</v>
      </c>
      <c r="Q266" s="20"/>
      <c r="R266" s="18" t="s">
        <v>27</v>
      </c>
      <c r="S266" s="18">
        <f t="shared" ca="1" si="43"/>
        <v>2022</v>
      </c>
      <c r="T266" s="21">
        <f t="shared" ca="1" si="44"/>
        <v>12</v>
      </c>
      <c r="U266" s="21" t="str">
        <f t="shared" ca="1" si="45"/>
        <v>05</v>
      </c>
      <c r="V266" s="21" t="str">
        <f t="shared" ca="1" si="46"/>
        <v>20221205</v>
      </c>
    </row>
    <row r="267" spans="12:22" ht="16.350000000000001" customHeight="1" x14ac:dyDescent="0.2">
      <c r="L267" s="18" t="s">
        <v>2</v>
      </c>
      <c r="M267" s="19">
        <f t="shared" si="47"/>
        <v>1900</v>
      </c>
      <c r="N267" s="19" t="str">
        <f t="shared" si="48"/>
        <v>01</v>
      </c>
      <c r="O267" s="19" t="str">
        <f t="shared" si="49"/>
        <v>00</v>
      </c>
      <c r="P267" s="18" t="str">
        <f t="shared" si="42"/>
        <v>19000100</v>
      </c>
      <c r="Q267" s="20"/>
      <c r="R267" s="18" t="s">
        <v>27</v>
      </c>
      <c r="S267" s="18">
        <f t="shared" ca="1" si="43"/>
        <v>2022</v>
      </c>
      <c r="T267" s="21">
        <f t="shared" ca="1" si="44"/>
        <v>12</v>
      </c>
      <c r="U267" s="21" t="str">
        <f t="shared" ca="1" si="45"/>
        <v>05</v>
      </c>
      <c r="V267" s="21" t="str">
        <f t="shared" ca="1" si="46"/>
        <v>20221205</v>
      </c>
    </row>
    <row r="268" spans="12:22" ht="16.350000000000001" customHeight="1" x14ac:dyDescent="0.2">
      <c r="L268" s="18" t="s">
        <v>2</v>
      </c>
      <c r="M268" s="19">
        <f t="shared" si="47"/>
        <v>1900</v>
      </c>
      <c r="N268" s="19" t="str">
        <f t="shared" si="48"/>
        <v>01</v>
      </c>
      <c r="O268" s="19" t="str">
        <f t="shared" si="49"/>
        <v>00</v>
      </c>
      <c r="P268" s="18" t="str">
        <f t="shared" si="42"/>
        <v>19000100</v>
      </c>
      <c r="Q268" s="20"/>
      <c r="R268" s="18" t="s">
        <v>27</v>
      </c>
      <c r="S268" s="18">
        <f t="shared" ca="1" si="43"/>
        <v>2022</v>
      </c>
      <c r="T268" s="21">
        <f t="shared" ca="1" si="44"/>
        <v>12</v>
      </c>
      <c r="U268" s="21" t="str">
        <f t="shared" ca="1" si="45"/>
        <v>05</v>
      </c>
      <c r="V268" s="21" t="str">
        <f t="shared" ca="1" si="46"/>
        <v>20221205</v>
      </c>
    </row>
    <row r="269" spans="12:22" ht="16.350000000000001" customHeight="1" x14ac:dyDescent="0.2">
      <c r="L269" s="18" t="s">
        <v>2</v>
      </c>
      <c r="M269" s="19">
        <f t="shared" si="47"/>
        <v>1900</v>
      </c>
      <c r="N269" s="19" t="str">
        <f t="shared" si="48"/>
        <v>01</v>
      </c>
      <c r="O269" s="19" t="str">
        <f t="shared" si="49"/>
        <v>00</v>
      </c>
      <c r="P269" s="18" t="str">
        <f t="shared" si="42"/>
        <v>19000100</v>
      </c>
      <c r="Q269" s="20"/>
      <c r="R269" s="18" t="s">
        <v>27</v>
      </c>
      <c r="S269" s="18">
        <f t="shared" ca="1" si="43"/>
        <v>2022</v>
      </c>
      <c r="T269" s="21">
        <f t="shared" ca="1" si="44"/>
        <v>12</v>
      </c>
      <c r="U269" s="21" t="str">
        <f t="shared" ca="1" si="45"/>
        <v>05</v>
      </c>
      <c r="V269" s="21" t="str">
        <f t="shared" ca="1" si="46"/>
        <v>20221205</v>
      </c>
    </row>
    <row r="270" spans="12:22" ht="16.350000000000001" customHeight="1" x14ac:dyDescent="0.2">
      <c r="L270" s="18" t="s">
        <v>2</v>
      </c>
      <c r="M270" s="19">
        <f t="shared" si="47"/>
        <v>1900</v>
      </c>
      <c r="N270" s="19" t="str">
        <f t="shared" si="48"/>
        <v>01</v>
      </c>
      <c r="O270" s="19" t="str">
        <f t="shared" si="49"/>
        <v>00</v>
      </c>
      <c r="P270" s="18" t="str">
        <f t="shared" si="42"/>
        <v>19000100</v>
      </c>
      <c r="Q270" s="20"/>
      <c r="R270" s="18" t="s">
        <v>27</v>
      </c>
      <c r="S270" s="18">
        <f t="shared" ca="1" si="43"/>
        <v>2022</v>
      </c>
      <c r="T270" s="21">
        <f t="shared" ca="1" si="44"/>
        <v>12</v>
      </c>
      <c r="U270" s="21" t="str">
        <f t="shared" ca="1" si="45"/>
        <v>05</v>
      </c>
      <c r="V270" s="21" t="str">
        <f t="shared" ca="1" si="46"/>
        <v>20221205</v>
      </c>
    </row>
    <row r="271" spans="12:22" ht="16.350000000000001" customHeight="1" x14ac:dyDescent="0.2">
      <c r="L271" s="18" t="s">
        <v>2</v>
      </c>
      <c r="M271" s="19">
        <f t="shared" si="47"/>
        <v>1900</v>
      </c>
      <c r="N271" s="19" t="str">
        <f t="shared" si="48"/>
        <v>01</v>
      </c>
      <c r="O271" s="19" t="str">
        <f t="shared" si="49"/>
        <v>00</v>
      </c>
      <c r="P271" s="18" t="str">
        <f t="shared" si="42"/>
        <v>19000100</v>
      </c>
      <c r="Q271" s="20"/>
      <c r="R271" s="18" t="s">
        <v>27</v>
      </c>
      <c r="S271" s="18">
        <f t="shared" ca="1" si="43"/>
        <v>2022</v>
      </c>
      <c r="T271" s="21">
        <f t="shared" ca="1" si="44"/>
        <v>12</v>
      </c>
      <c r="U271" s="21" t="str">
        <f t="shared" ca="1" si="45"/>
        <v>05</v>
      </c>
      <c r="V271" s="21" t="str">
        <f t="shared" ca="1" si="46"/>
        <v>20221205</v>
      </c>
    </row>
    <row r="272" spans="12:22" ht="16.350000000000001" customHeight="1" x14ac:dyDescent="0.2">
      <c r="L272" s="18" t="s">
        <v>2</v>
      </c>
      <c r="M272" s="19">
        <f t="shared" si="47"/>
        <v>1900</v>
      </c>
      <c r="N272" s="19" t="str">
        <f t="shared" si="48"/>
        <v>01</v>
      </c>
      <c r="O272" s="19" t="str">
        <f t="shared" si="49"/>
        <v>00</v>
      </c>
      <c r="P272" s="18" t="str">
        <f t="shared" si="42"/>
        <v>19000100</v>
      </c>
      <c r="Q272" s="20"/>
      <c r="R272" s="18" t="s">
        <v>27</v>
      </c>
      <c r="S272" s="18">
        <f t="shared" ca="1" si="43"/>
        <v>2022</v>
      </c>
      <c r="T272" s="21">
        <f t="shared" ca="1" si="44"/>
        <v>12</v>
      </c>
      <c r="U272" s="21" t="str">
        <f t="shared" ca="1" si="45"/>
        <v>05</v>
      </c>
      <c r="V272" s="21" t="str">
        <f t="shared" ca="1" si="46"/>
        <v>20221205</v>
      </c>
    </row>
    <row r="273" spans="12:22" ht="16.350000000000001" customHeight="1" x14ac:dyDescent="0.2">
      <c r="L273" s="18" t="s">
        <v>2</v>
      </c>
      <c r="M273" s="19">
        <f t="shared" si="47"/>
        <v>1900</v>
      </c>
      <c r="N273" s="19" t="str">
        <f t="shared" si="48"/>
        <v>01</v>
      </c>
      <c r="O273" s="19" t="str">
        <f t="shared" si="49"/>
        <v>00</v>
      </c>
      <c r="P273" s="18" t="str">
        <f t="shared" si="42"/>
        <v>19000100</v>
      </c>
      <c r="Q273" s="20"/>
      <c r="R273" s="18" t="s">
        <v>27</v>
      </c>
      <c r="S273" s="18">
        <f t="shared" ca="1" si="43"/>
        <v>2022</v>
      </c>
      <c r="T273" s="21">
        <f t="shared" ca="1" si="44"/>
        <v>12</v>
      </c>
      <c r="U273" s="21" t="str">
        <f t="shared" ca="1" si="45"/>
        <v>05</v>
      </c>
      <c r="V273" s="21" t="str">
        <f t="shared" ca="1" si="46"/>
        <v>20221205</v>
      </c>
    </row>
    <row r="274" spans="12:22" ht="16.350000000000001" customHeight="1" x14ac:dyDescent="0.2">
      <c r="L274" s="18" t="s">
        <v>2</v>
      </c>
      <c r="M274" s="19">
        <f t="shared" si="47"/>
        <v>1900</v>
      </c>
      <c r="N274" s="19" t="str">
        <f t="shared" si="48"/>
        <v>01</v>
      </c>
      <c r="O274" s="19" t="str">
        <f t="shared" si="49"/>
        <v>00</v>
      </c>
      <c r="P274" s="18" t="str">
        <f t="shared" si="42"/>
        <v>19000100</v>
      </c>
      <c r="Q274" s="20"/>
      <c r="R274" s="18" t="s">
        <v>27</v>
      </c>
      <c r="S274" s="18">
        <f t="shared" ca="1" si="43"/>
        <v>2022</v>
      </c>
      <c r="T274" s="21">
        <f t="shared" ca="1" si="44"/>
        <v>12</v>
      </c>
      <c r="U274" s="21" t="str">
        <f t="shared" ca="1" si="45"/>
        <v>05</v>
      </c>
      <c r="V274" s="21" t="str">
        <f t="shared" ca="1" si="46"/>
        <v>20221205</v>
      </c>
    </row>
    <row r="275" spans="12:22" ht="16.350000000000001" customHeight="1" x14ac:dyDescent="0.2">
      <c r="L275" s="18" t="s">
        <v>2</v>
      </c>
      <c r="M275" s="19">
        <f t="shared" si="47"/>
        <v>1900</v>
      </c>
      <c r="N275" s="19" t="str">
        <f t="shared" si="48"/>
        <v>01</v>
      </c>
      <c r="O275" s="19" t="str">
        <f t="shared" si="49"/>
        <v>00</v>
      </c>
      <c r="P275" s="18" t="str">
        <f t="shared" si="42"/>
        <v>19000100</v>
      </c>
      <c r="Q275" s="20"/>
      <c r="R275" s="18" t="s">
        <v>27</v>
      </c>
      <c r="S275" s="18">
        <f t="shared" ca="1" si="43"/>
        <v>2022</v>
      </c>
      <c r="T275" s="21">
        <f t="shared" ca="1" si="44"/>
        <v>12</v>
      </c>
      <c r="U275" s="21" t="str">
        <f t="shared" ca="1" si="45"/>
        <v>05</v>
      </c>
      <c r="V275" s="21" t="str">
        <f t="shared" ca="1" si="46"/>
        <v>20221205</v>
      </c>
    </row>
    <row r="276" spans="12:22" ht="16.350000000000001" customHeight="1" x14ac:dyDescent="0.2">
      <c r="L276" s="18" t="s">
        <v>2</v>
      </c>
      <c r="M276" s="19">
        <f t="shared" si="47"/>
        <v>1900</v>
      </c>
      <c r="N276" s="19" t="str">
        <f t="shared" si="48"/>
        <v>01</v>
      </c>
      <c r="O276" s="19" t="str">
        <f t="shared" si="49"/>
        <v>00</v>
      </c>
      <c r="P276" s="18" t="str">
        <f t="shared" si="42"/>
        <v>19000100</v>
      </c>
      <c r="Q276" s="20"/>
      <c r="R276" s="18" t="s">
        <v>27</v>
      </c>
      <c r="S276" s="18">
        <f t="shared" ca="1" si="43"/>
        <v>2022</v>
      </c>
      <c r="T276" s="21">
        <f t="shared" ca="1" si="44"/>
        <v>12</v>
      </c>
      <c r="U276" s="21" t="str">
        <f t="shared" ca="1" si="45"/>
        <v>05</v>
      </c>
      <c r="V276" s="21" t="str">
        <f t="shared" ca="1" si="46"/>
        <v>20221205</v>
      </c>
    </row>
    <row r="277" spans="12:22" ht="16.350000000000001" customHeight="1" x14ac:dyDescent="0.2">
      <c r="L277" s="18" t="s">
        <v>2</v>
      </c>
      <c r="M277" s="19">
        <f t="shared" si="47"/>
        <v>1900</v>
      </c>
      <c r="N277" s="19" t="str">
        <f t="shared" si="48"/>
        <v>01</v>
      </c>
      <c r="O277" s="19" t="str">
        <f t="shared" si="49"/>
        <v>00</v>
      </c>
      <c r="P277" s="18" t="str">
        <f t="shared" si="42"/>
        <v>19000100</v>
      </c>
      <c r="Q277" s="20"/>
      <c r="R277" s="18" t="s">
        <v>27</v>
      </c>
      <c r="S277" s="18">
        <f t="shared" ca="1" si="43"/>
        <v>2022</v>
      </c>
      <c r="T277" s="21">
        <f t="shared" ca="1" si="44"/>
        <v>12</v>
      </c>
      <c r="U277" s="21" t="str">
        <f t="shared" ca="1" si="45"/>
        <v>05</v>
      </c>
      <c r="V277" s="21" t="str">
        <f t="shared" ca="1" si="46"/>
        <v>20221205</v>
      </c>
    </row>
    <row r="278" spans="12:22" ht="16.350000000000001" customHeight="1" x14ac:dyDescent="0.2">
      <c r="L278" s="18" t="s">
        <v>2</v>
      </c>
      <c r="M278" s="19">
        <f t="shared" si="47"/>
        <v>1900</v>
      </c>
      <c r="N278" s="19" t="str">
        <f t="shared" si="48"/>
        <v>01</v>
      </c>
      <c r="O278" s="19" t="str">
        <f t="shared" si="49"/>
        <v>00</v>
      </c>
      <c r="P278" s="18" t="str">
        <f t="shared" si="42"/>
        <v>19000100</v>
      </c>
      <c r="Q278" s="20"/>
      <c r="R278" s="18" t="s">
        <v>27</v>
      </c>
      <c r="S278" s="18">
        <f t="shared" ca="1" si="43"/>
        <v>2022</v>
      </c>
      <c r="T278" s="21">
        <f t="shared" ca="1" si="44"/>
        <v>12</v>
      </c>
      <c r="U278" s="21" t="str">
        <f t="shared" ca="1" si="45"/>
        <v>05</v>
      </c>
      <c r="V278" s="21" t="str">
        <f t="shared" ca="1" si="46"/>
        <v>20221205</v>
      </c>
    </row>
    <row r="279" spans="12:22" ht="16.350000000000001" customHeight="1" x14ac:dyDescent="0.2">
      <c r="L279" s="18" t="s">
        <v>2</v>
      </c>
      <c r="M279" s="19">
        <f t="shared" si="47"/>
        <v>1900</v>
      </c>
      <c r="N279" s="19" t="str">
        <f t="shared" si="48"/>
        <v>01</v>
      </c>
      <c r="O279" s="19" t="str">
        <f t="shared" si="49"/>
        <v>00</v>
      </c>
      <c r="P279" s="18" t="str">
        <f t="shared" si="42"/>
        <v>19000100</v>
      </c>
      <c r="Q279" s="20"/>
      <c r="R279" s="18" t="s">
        <v>27</v>
      </c>
      <c r="S279" s="18">
        <f t="shared" ca="1" si="43"/>
        <v>2022</v>
      </c>
      <c r="T279" s="21">
        <f t="shared" ca="1" si="44"/>
        <v>12</v>
      </c>
      <c r="U279" s="21" t="str">
        <f t="shared" ca="1" si="45"/>
        <v>05</v>
      </c>
      <c r="V279" s="21" t="str">
        <f t="shared" ca="1" si="46"/>
        <v>20221205</v>
      </c>
    </row>
    <row r="280" spans="12:22" ht="16.350000000000001" customHeight="1" x14ac:dyDescent="0.2">
      <c r="L280" s="18" t="s">
        <v>2</v>
      </c>
      <c r="M280" s="19">
        <f t="shared" si="47"/>
        <v>1900</v>
      </c>
      <c r="N280" s="19" t="str">
        <f t="shared" si="48"/>
        <v>01</v>
      </c>
      <c r="O280" s="19" t="str">
        <f t="shared" si="49"/>
        <v>00</v>
      </c>
      <c r="P280" s="18" t="str">
        <f t="shared" si="42"/>
        <v>19000100</v>
      </c>
      <c r="Q280" s="20"/>
      <c r="R280" s="18" t="s">
        <v>27</v>
      </c>
      <c r="S280" s="18">
        <f t="shared" ca="1" si="43"/>
        <v>2022</v>
      </c>
      <c r="T280" s="21">
        <f t="shared" ca="1" si="44"/>
        <v>12</v>
      </c>
      <c r="U280" s="21" t="str">
        <f t="shared" ca="1" si="45"/>
        <v>05</v>
      </c>
      <c r="V280" s="21" t="str">
        <f t="shared" ca="1" si="46"/>
        <v>20221205</v>
      </c>
    </row>
    <row r="281" spans="12:22" ht="16.350000000000001" customHeight="1" x14ac:dyDescent="0.2">
      <c r="L281" s="18" t="s">
        <v>2</v>
      </c>
      <c r="M281" s="19">
        <f t="shared" si="47"/>
        <v>1900</v>
      </c>
      <c r="N281" s="19" t="str">
        <f t="shared" si="48"/>
        <v>01</v>
      </c>
      <c r="O281" s="19" t="str">
        <f t="shared" si="49"/>
        <v>00</v>
      </c>
      <c r="P281" s="18" t="str">
        <f t="shared" si="42"/>
        <v>19000100</v>
      </c>
      <c r="Q281" s="20"/>
      <c r="R281" s="18" t="s">
        <v>27</v>
      </c>
      <c r="S281" s="18">
        <f t="shared" ca="1" si="43"/>
        <v>2022</v>
      </c>
      <c r="T281" s="21">
        <f t="shared" ca="1" si="44"/>
        <v>12</v>
      </c>
      <c r="U281" s="21" t="str">
        <f t="shared" ca="1" si="45"/>
        <v>05</v>
      </c>
      <c r="V281" s="21" t="str">
        <f t="shared" ca="1" si="46"/>
        <v>20221205</v>
      </c>
    </row>
    <row r="282" spans="12:22" ht="16.350000000000001" customHeight="1" x14ac:dyDescent="0.2">
      <c r="L282" s="18" t="s">
        <v>2</v>
      </c>
      <c r="M282" s="19">
        <f t="shared" si="47"/>
        <v>1900</v>
      </c>
      <c r="N282" s="19" t="str">
        <f t="shared" si="48"/>
        <v>01</v>
      </c>
      <c r="O282" s="19" t="str">
        <f t="shared" si="49"/>
        <v>00</v>
      </c>
      <c r="P282" s="18" t="str">
        <f t="shared" si="42"/>
        <v>19000100</v>
      </c>
      <c r="Q282" s="20"/>
      <c r="R282" s="18" t="s">
        <v>27</v>
      </c>
      <c r="S282" s="18">
        <f t="shared" ca="1" si="43"/>
        <v>2022</v>
      </c>
      <c r="T282" s="21">
        <f t="shared" ca="1" si="44"/>
        <v>12</v>
      </c>
      <c r="U282" s="21" t="str">
        <f t="shared" ca="1" si="45"/>
        <v>05</v>
      </c>
      <c r="V282" s="21" t="str">
        <f t="shared" ca="1" si="46"/>
        <v>20221205</v>
      </c>
    </row>
    <row r="283" spans="12:22" ht="16.350000000000001" customHeight="1" x14ac:dyDescent="0.2">
      <c r="L283" s="18" t="s">
        <v>2</v>
      </c>
      <c r="M283" s="19">
        <f t="shared" si="47"/>
        <v>1900</v>
      </c>
      <c r="N283" s="19" t="str">
        <f t="shared" si="48"/>
        <v>01</v>
      </c>
      <c r="O283" s="19" t="str">
        <f t="shared" si="49"/>
        <v>00</v>
      </c>
      <c r="P283" s="18" t="str">
        <f t="shared" si="42"/>
        <v>19000100</v>
      </c>
      <c r="Q283" s="20"/>
      <c r="R283" s="18" t="s">
        <v>27</v>
      </c>
      <c r="S283" s="18">
        <f t="shared" ca="1" si="43"/>
        <v>2022</v>
      </c>
      <c r="T283" s="21">
        <f t="shared" ca="1" si="44"/>
        <v>12</v>
      </c>
      <c r="U283" s="21" t="str">
        <f t="shared" ca="1" si="45"/>
        <v>05</v>
      </c>
      <c r="V283" s="21" t="str">
        <f t="shared" ca="1" si="46"/>
        <v>20221205</v>
      </c>
    </row>
    <row r="284" spans="12:22" ht="16.350000000000001" customHeight="1" x14ac:dyDescent="0.2">
      <c r="L284" s="18" t="s">
        <v>2</v>
      </c>
      <c r="M284" s="19">
        <f t="shared" si="47"/>
        <v>1900</v>
      </c>
      <c r="N284" s="19" t="str">
        <f t="shared" si="48"/>
        <v>01</v>
      </c>
      <c r="O284" s="19" t="str">
        <f t="shared" si="49"/>
        <v>00</v>
      </c>
      <c r="P284" s="18" t="str">
        <f t="shared" si="42"/>
        <v>19000100</v>
      </c>
      <c r="Q284" s="20"/>
      <c r="R284" s="18" t="s">
        <v>27</v>
      </c>
      <c r="S284" s="18">
        <f t="shared" ca="1" si="43"/>
        <v>2022</v>
      </c>
      <c r="T284" s="21">
        <f t="shared" ca="1" si="44"/>
        <v>12</v>
      </c>
      <c r="U284" s="21" t="str">
        <f t="shared" ca="1" si="45"/>
        <v>05</v>
      </c>
      <c r="V284" s="21" t="str">
        <f t="shared" ca="1" si="46"/>
        <v>20221205</v>
      </c>
    </row>
    <row r="285" spans="12:22" ht="16.350000000000001" customHeight="1" x14ac:dyDescent="0.2">
      <c r="L285" s="18" t="s">
        <v>2</v>
      </c>
      <c r="M285" s="19">
        <f t="shared" si="47"/>
        <v>1900</v>
      </c>
      <c r="N285" s="19" t="str">
        <f t="shared" si="48"/>
        <v>01</v>
      </c>
      <c r="O285" s="19" t="str">
        <f t="shared" si="49"/>
        <v>00</v>
      </c>
      <c r="P285" s="18" t="str">
        <f t="shared" si="42"/>
        <v>19000100</v>
      </c>
      <c r="Q285" s="20"/>
      <c r="R285" s="18" t="s">
        <v>27</v>
      </c>
      <c r="S285" s="18">
        <f t="shared" ca="1" si="43"/>
        <v>2022</v>
      </c>
      <c r="T285" s="21">
        <f t="shared" ca="1" si="44"/>
        <v>12</v>
      </c>
      <c r="U285" s="21" t="str">
        <f t="shared" ca="1" si="45"/>
        <v>05</v>
      </c>
      <c r="V285" s="21" t="str">
        <f t="shared" ca="1" si="46"/>
        <v>20221205</v>
      </c>
    </row>
    <row r="286" spans="12:22" ht="16.350000000000001" customHeight="1" x14ac:dyDescent="0.2">
      <c r="L286" s="18" t="s">
        <v>2</v>
      </c>
      <c r="M286" s="19">
        <f t="shared" si="47"/>
        <v>1900</v>
      </c>
      <c r="N286" s="19" t="str">
        <f t="shared" si="48"/>
        <v>01</v>
      </c>
      <c r="O286" s="19" t="str">
        <f t="shared" si="49"/>
        <v>00</v>
      </c>
      <c r="P286" s="18" t="str">
        <f t="shared" si="42"/>
        <v>19000100</v>
      </c>
      <c r="Q286" s="20"/>
      <c r="R286" s="18" t="s">
        <v>27</v>
      </c>
      <c r="S286" s="18">
        <f t="shared" ca="1" si="43"/>
        <v>2022</v>
      </c>
      <c r="T286" s="21">
        <f t="shared" ca="1" si="44"/>
        <v>12</v>
      </c>
      <c r="U286" s="21" t="str">
        <f t="shared" ca="1" si="45"/>
        <v>05</v>
      </c>
      <c r="V286" s="21" t="str">
        <f t="shared" ca="1" si="46"/>
        <v>20221205</v>
      </c>
    </row>
    <row r="287" spans="12:22" ht="16.350000000000001" customHeight="1" x14ac:dyDescent="0.2">
      <c r="L287" s="18" t="s">
        <v>2</v>
      </c>
      <c r="M287" s="19">
        <f t="shared" si="47"/>
        <v>1900</v>
      </c>
      <c r="N287" s="19" t="str">
        <f t="shared" si="48"/>
        <v>01</v>
      </c>
      <c r="O287" s="19" t="str">
        <f t="shared" si="49"/>
        <v>00</v>
      </c>
      <c r="P287" s="18" t="str">
        <f t="shared" si="42"/>
        <v>19000100</v>
      </c>
      <c r="Q287" s="20"/>
      <c r="R287" s="18" t="s">
        <v>27</v>
      </c>
      <c r="S287" s="18">
        <f t="shared" ca="1" si="43"/>
        <v>2022</v>
      </c>
      <c r="T287" s="21">
        <f t="shared" ca="1" si="44"/>
        <v>12</v>
      </c>
      <c r="U287" s="21" t="str">
        <f t="shared" ca="1" si="45"/>
        <v>05</v>
      </c>
      <c r="V287" s="21" t="str">
        <f t="shared" ca="1" si="46"/>
        <v>20221205</v>
      </c>
    </row>
    <row r="288" spans="12:22" ht="16.350000000000001" customHeight="1" x14ac:dyDescent="0.2">
      <c r="L288" s="18" t="s">
        <v>2</v>
      </c>
      <c r="M288" s="19">
        <f t="shared" si="47"/>
        <v>1900</v>
      </c>
      <c r="N288" s="19" t="str">
        <f t="shared" si="48"/>
        <v>01</v>
      </c>
      <c r="O288" s="19" t="str">
        <f t="shared" si="49"/>
        <v>00</v>
      </c>
      <c r="P288" s="18" t="str">
        <f t="shared" si="42"/>
        <v>19000100</v>
      </c>
      <c r="Q288" s="20"/>
      <c r="R288" s="18" t="s">
        <v>27</v>
      </c>
      <c r="S288" s="18">
        <f t="shared" ca="1" si="43"/>
        <v>2022</v>
      </c>
      <c r="T288" s="21">
        <f t="shared" ca="1" si="44"/>
        <v>12</v>
      </c>
      <c r="U288" s="21" t="str">
        <f t="shared" ca="1" si="45"/>
        <v>05</v>
      </c>
      <c r="V288" s="21" t="str">
        <f t="shared" ca="1" si="46"/>
        <v>20221205</v>
      </c>
    </row>
    <row r="289" spans="12:22" ht="16.350000000000001" customHeight="1" x14ac:dyDescent="0.2">
      <c r="L289" s="18" t="s">
        <v>2</v>
      </c>
      <c r="M289" s="19">
        <f t="shared" si="47"/>
        <v>1900</v>
      </c>
      <c r="N289" s="19" t="str">
        <f t="shared" si="48"/>
        <v>01</v>
      </c>
      <c r="O289" s="19" t="str">
        <f t="shared" si="49"/>
        <v>00</v>
      </c>
      <c r="P289" s="18" t="str">
        <f t="shared" si="42"/>
        <v>19000100</v>
      </c>
      <c r="Q289" s="20"/>
      <c r="R289" s="18" t="s">
        <v>27</v>
      </c>
      <c r="S289" s="18">
        <f t="shared" ca="1" si="43"/>
        <v>2022</v>
      </c>
      <c r="T289" s="21">
        <f t="shared" ca="1" si="44"/>
        <v>12</v>
      </c>
      <c r="U289" s="21" t="str">
        <f t="shared" ca="1" si="45"/>
        <v>05</v>
      </c>
      <c r="V289" s="21" t="str">
        <f t="shared" ca="1" si="46"/>
        <v>20221205</v>
      </c>
    </row>
    <row r="290" spans="12:22" ht="16.350000000000001" customHeight="1" x14ac:dyDescent="0.2">
      <c r="L290" s="18" t="s">
        <v>2</v>
      </c>
      <c r="M290" s="19">
        <f t="shared" si="47"/>
        <v>1900</v>
      </c>
      <c r="N290" s="19" t="str">
        <f t="shared" si="48"/>
        <v>01</v>
      </c>
      <c r="O290" s="19" t="str">
        <f t="shared" si="49"/>
        <v>00</v>
      </c>
      <c r="P290" s="18" t="str">
        <f t="shared" si="42"/>
        <v>19000100</v>
      </c>
      <c r="Q290" s="20"/>
      <c r="R290" s="18" t="s">
        <v>27</v>
      </c>
      <c r="S290" s="18">
        <f t="shared" ca="1" si="43"/>
        <v>2022</v>
      </c>
      <c r="T290" s="21">
        <f t="shared" ca="1" si="44"/>
        <v>12</v>
      </c>
      <c r="U290" s="21" t="str">
        <f t="shared" ca="1" si="45"/>
        <v>05</v>
      </c>
      <c r="V290" s="21" t="str">
        <f t="shared" ca="1" si="46"/>
        <v>20221205</v>
      </c>
    </row>
    <row r="291" spans="12:22" ht="16.350000000000001" customHeight="1" x14ac:dyDescent="0.2">
      <c r="L291" s="18" t="s">
        <v>2</v>
      </c>
      <c r="M291" s="19">
        <f t="shared" si="47"/>
        <v>1900</v>
      </c>
      <c r="N291" s="19" t="str">
        <f t="shared" si="48"/>
        <v>01</v>
      </c>
      <c r="O291" s="19" t="str">
        <f t="shared" si="49"/>
        <v>00</v>
      </c>
      <c r="P291" s="18" t="str">
        <f t="shared" si="42"/>
        <v>19000100</v>
      </c>
      <c r="Q291" s="20"/>
      <c r="R291" s="18" t="s">
        <v>27</v>
      </c>
      <c r="S291" s="18">
        <f t="shared" ca="1" si="43"/>
        <v>2022</v>
      </c>
      <c r="T291" s="21">
        <f t="shared" ref="T291:T354" ca="1" si="50">IF(MONTH(TODAY())&lt;10,CONCATENATE(0,MONTH(TODAY())),MONTH(TODAY()))</f>
        <v>12</v>
      </c>
      <c r="U291" s="21" t="str">
        <f t="shared" ref="U291:U354" ca="1" si="51">IF(DAY(TODAY())&lt;10,CONCATENATE(0,DAY(TODAY())),DAY(TODAY()))</f>
        <v>05</v>
      </c>
      <c r="V291" s="21" t="str">
        <f t="shared" ca="1" si="46"/>
        <v>20221205</v>
      </c>
    </row>
    <row r="292" spans="12:22" ht="16.350000000000001" customHeight="1" x14ac:dyDescent="0.2">
      <c r="L292" s="18" t="s">
        <v>2</v>
      </c>
      <c r="M292" s="19">
        <f t="shared" si="47"/>
        <v>1900</v>
      </c>
      <c r="N292" s="19" t="str">
        <f t="shared" si="48"/>
        <v>01</v>
      </c>
      <c r="O292" s="19" t="str">
        <f t="shared" si="49"/>
        <v>00</v>
      </c>
      <c r="P292" s="18" t="str">
        <f t="shared" si="42"/>
        <v>19000100</v>
      </c>
      <c r="Q292" s="20"/>
      <c r="R292" s="18" t="s">
        <v>27</v>
      </c>
      <c r="S292" s="18">
        <f t="shared" ca="1" si="43"/>
        <v>2022</v>
      </c>
      <c r="T292" s="21">
        <f t="shared" ca="1" si="50"/>
        <v>12</v>
      </c>
      <c r="U292" s="21" t="str">
        <f t="shared" ca="1" si="51"/>
        <v>05</v>
      </c>
      <c r="V292" s="21" t="str">
        <f t="shared" ca="1" si="46"/>
        <v>20221205</v>
      </c>
    </row>
    <row r="293" spans="12:22" ht="16.350000000000001" customHeight="1" x14ac:dyDescent="0.2">
      <c r="L293" s="18" t="s">
        <v>2</v>
      </c>
      <c r="M293" s="19">
        <f t="shared" si="47"/>
        <v>1900</v>
      </c>
      <c r="N293" s="19" t="str">
        <f t="shared" si="48"/>
        <v>01</v>
      </c>
      <c r="O293" s="19" t="str">
        <f t="shared" si="49"/>
        <v>00</v>
      </c>
      <c r="P293" s="18" t="str">
        <f t="shared" ref="P293:P356" si="52">CONCATENATE(M293,N293,O293)</f>
        <v>19000100</v>
      </c>
      <c r="Q293" s="20"/>
      <c r="R293" s="18" t="s">
        <v>27</v>
      </c>
      <c r="S293" s="18">
        <f t="shared" ref="S293:S356" ca="1" si="53">YEAR(TODAY())</f>
        <v>2022</v>
      </c>
      <c r="T293" s="21">
        <f t="shared" ca="1" si="50"/>
        <v>12</v>
      </c>
      <c r="U293" s="21" t="str">
        <f t="shared" ca="1" si="51"/>
        <v>05</v>
      </c>
      <c r="V293" s="21" t="str">
        <f t="shared" ref="V293:V356" ca="1" si="54">CONCATENATE(S293,T293,U293)</f>
        <v>20221205</v>
      </c>
    </row>
    <row r="294" spans="12:22" ht="16.350000000000001" customHeight="1" x14ac:dyDescent="0.2">
      <c r="L294" s="18" t="s">
        <v>2</v>
      </c>
      <c r="M294" s="19">
        <f t="shared" si="47"/>
        <v>1900</v>
      </c>
      <c r="N294" s="19" t="str">
        <f t="shared" si="48"/>
        <v>01</v>
      </c>
      <c r="O294" s="19" t="str">
        <f t="shared" si="49"/>
        <v>00</v>
      </c>
      <c r="P294" s="18" t="str">
        <f t="shared" si="52"/>
        <v>19000100</v>
      </c>
      <c r="Q294" s="20"/>
      <c r="R294" s="18" t="s">
        <v>27</v>
      </c>
      <c r="S294" s="18">
        <f t="shared" ca="1" si="53"/>
        <v>2022</v>
      </c>
      <c r="T294" s="21">
        <f t="shared" ca="1" si="50"/>
        <v>12</v>
      </c>
      <c r="U294" s="21" t="str">
        <f t="shared" ca="1" si="51"/>
        <v>05</v>
      </c>
      <c r="V294" s="21" t="str">
        <f t="shared" ca="1" si="54"/>
        <v>20221205</v>
      </c>
    </row>
    <row r="295" spans="12:22" ht="16.350000000000001" customHeight="1" x14ac:dyDescent="0.2">
      <c r="L295" s="18" t="s">
        <v>2</v>
      </c>
      <c r="M295" s="19">
        <f t="shared" si="47"/>
        <v>1900</v>
      </c>
      <c r="N295" s="19" t="str">
        <f t="shared" si="48"/>
        <v>01</v>
      </c>
      <c r="O295" s="19" t="str">
        <f t="shared" si="49"/>
        <v>00</v>
      </c>
      <c r="P295" s="18" t="str">
        <f t="shared" si="52"/>
        <v>19000100</v>
      </c>
      <c r="Q295" s="20"/>
      <c r="R295" s="18" t="s">
        <v>27</v>
      </c>
      <c r="S295" s="18">
        <f t="shared" ca="1" si="53"/>
        <v>2022</v>
      </c>
      <c r="T295" s="21">
        <f t="shared" ca="1" si="50"/>
        <v>12</v>
      </c>
      <c r="U295" s="21" t="str">
        <f t="shared" ca="1" si="51"/>
        <v>05</v>
      </c>
      <c r="V295" s="21" t="str">
        <f t="shared" ca="1" si="54"/>
        <v>20221205</v>
      </c>
    </row>
    <row r="296" spans="12:22" ht="16.350000000000001" customHeight="1" x14ac:dyDescent="0.2">
      <c r="L296" s="18" t="s">
        <v>2</v>
      </c>
      <c r="M296" s="19">
        <f t="shared" si="47"/>
        <v>1900</v>
      </c>
      <c r="N296" s="19" t="str">
        <f t="shared" si="48"/>
        <v>01</v>
      </c>
      <c r="O296" s="19" t="str">
        <f t="shared" si="49"/>
        <v>00</v>
      </c>
      <c r="P296" s="18" t="str">
        <f t="shared" si="52"/>
        <v>19000100</v>
      </c>
      <c r="Q296" s="20"/>
      <c r="R296" s="18" t="s">
        <v>27</v>
      </c>
      <c r="S296" s="18">
        <f t="shared" ca="1" si="53"/>
        <v>2022</v>
      </c>
      <c r="T296" s="21">
        <f t="shared" ca="1" si="50"/>
        <v>12</v>
      </c>
      <c r="U296" s="21" t="str">
        <f t="shared" ca="1" si="51"/>
        <v>05</v>
      </c>
      <c r="V296" s="21" t="str">
        <f t="shared" ca="1" si="54"/>
        <v>20221205</v>
      </c>
    </row>
    <row r="297" spans="12:22" ht="16.350000000000001" customHeight="1" x14ac:dyDescent="0.2">
      <c r="L297" s="18" t="s">
        <v>2</v>
      </c>
      <c r="M297" s="19">
        <f t="shared" si="47"/>
        <v>1900</v>
      </c>
      <c r="N297" s="19" t="str">
        <f t="shared" si="48"/>
        <v>01</v>
      </c>
      <c r="O297" s="19" t="str">
        <f t="shared" si="49"/>
        <v>00</v>
      </c>
      <c r="P297" s="18" t="str">
        <f t="shared" si="52"/>
        <v>19000100</v>
      </c>
      <c r="Q297" s="20"/>
      <c r="R297" s="18" t="s">
        <v>27</v>
      </c>
      <c r="S297" s="18">
        <f t="shared" ca="1" si="53"/>
        <v>2022</v>
      </c>
      <c r="T297" s="21">
        <f t="shared" ca="1" si="50"/>
        <v>12</v>
      </c>
      <c r="U297" s="21" t="str">
        <f t="shared" ca="1" si="51"/>
        <v>05</v>
      </c>
      <c r="V297" s="21" t="str">
        <f t="shared" ca="1" si="54"/>
        <v>20221205</v>
      </c>
    </row>
    <row r="298" spans="12:22" ht="16.350000000000001" customHeight="1" x14ac:dyDescent="0.2">
      <c r="L298" s="18" t="s">
        <v>2</v>
      </c>
      <c r="M298" s="19">
        <f t="shared" si="47"/>
        <v>1900</v>
      </c>
      <c r="N298" s="19" t="str">
        <f t="shared" si="48"/>
        <v>01</v>
      </c>
      <c r="O298" s="19" t="str">
        <f t="shared" si="49"/>
        <v>00</v>
      </c>
      <c r="P298" s="18" t="str">
        <f t="shared" si="52"/>
        <v>19000100</v>
      </c>
      <c r="Q298" s="20"/>
      <c r="R298" s="18" t="s">
        <v>27</v>
      </c>
      <c r="S298" s="18">
        <f t="shared" ca="1" si="53"/>
        <v>2022</v>
      </c>
      <c r="T298" s="21">
        <f t="shared" ca="1" si="50"/>
        <v>12</v>
      </c>
      <c r="U298" s="21" t="str">
        <f t="shared" ca="1" si="51"/>
        <v>05</v>
      </c>
      <c r="V298" s="21" t="str">
        <f t="shared" ca="1" si="54"/>
        <v>20221205</v>
      </c>
    </row>
    <row r="299" spans="12:22" ht="16.350000000000001" customHeight="1" x14ac:dyDescent="0.2">
      <c r="L299" s="18" t="s">
        <v>2</v>
      </c>
      <c r="M299" s="19">
        <f t="shared" si="47"/>
        <v>1900</v>
      </c>
      <c r="N299" s="19" t="str">
        <f t="shared" si="48"/>
        <v>01</v>
      </c>
      <c r="O299" s="19" t="str">
        <f t="shared" si="49"/>
        <v>00</v>
      </c>
      <c r="P299" s="18" t="str">
        <f t="shared" si="52"/>
        <v>19000100</v>
      </c>
      <c r="Q299" s="20"/>
      <c r="R299" s="18" t="s">
        <v>27</v>
      </c>
      <c r="S299" s="18">
        <f t="shared" ca="1" si="53"/>
        <v>2022</v>
      </c>
      <c r="T299" s="21">
        <f t="shared" ca="1" si="50"/>
        <v>12</v>
      </c>
      <c r="U299" s="21" t="str">
        <f t="shared" ca="1" si="51"/>
        <v>05</v>
      </c>
      <c r="V299" s="21" t="str">
        <f t="shared" ca="1" si="54"/>
        <v>20221205</v>
      </c>
    </row>
    <row r="300" spans="12:22" ht="16.350000000000001" customHeight="1" x14ac:dyDescent="0.2">
      <c r="L300" s="18" t="s">
        <v>2</v>
      </c>
      <c r="M300" s="19">
        <f t="shared" si="47"/>
        <v>1900</v>
      </c>
      <c r="N300" s="19" t="str">
        <f t="shared" si="48"/>
        <v>01</v>
      </c>
      <c r="O300" s="19" t="str">
        <f t="shared" si="49"/>
        <v>00</v>
      </c>
      <c r="P300" s="18" t="str">
        <f t="shared" si="52"/>
        <v>19000100</v>
      </c>
      <c r="Q300" s="20"/>
      <c r="R300" s="18" t="s">
        <v>27</v>
      </c>
      <c r="S300" s="18">
        <f t="shared" ca="1" si="53"/>
        <v>2022</v>
      </c>
      <c r="T300" s="21">
        <f t="shared" ca="1" si="50"/>
        <v>12</v>
      </c>
      <c r="U300" s="21" t="str">
        <f t="shared" ca="1" si="51"/>
        <v>05</v>
      </c>
      <c r="V300" s="21" t="str">
        <f t="shared" ca="1" si="54"/>
        <v>20221205</v>
      </c>
    </row>
    <row r="301" spans="12:22" ht="16.350000000000001" customHeight="1" x14ac:dyDescent="0.2">
      <c r="L301" s="18" t="s">
        <v>2</v>
      </c>
      <c r="M301" s="19">
        <f t="shared" si="47"/>
        <v>1900</v>
      </c>
      <c r="N301" s="19" t="str">
        <f t="shared" si="48"/>
        <v>01</v>
      </c>
      <c r="O301" s="19" t="str">
        <f t="shared" si="49"/>
        <v>00</v>
      </c>
      <c r="P301" s="18" t="str">
        <f t="shared" si="52"/>
        <v>19000100</v>
      </c>
      <c r="Q301" s="20"/>
      <c r="R301" s="18" t="s">
        <v>27</v>
      </c>
      <c r="S301" s="18">
        <f t="shared" ca="1" si="53"/>
        <v>2022</v>
      </c>
      <c r="T301" s="21">
        <f t="shared" ca="1" si="50"/>
        <v>12</v>
      </c>
      <c r="U301" s="21" t="str">
        <f t="shared" ca="1" si="51"/>
        <v>05</v>
      </c>
      <c r="V301" s="21" t="str">
        <f t="shared" ca="1" si="54"/>
        <v>20221205</v>
      </c>
    </row>
    <row r="302" spans="12:22" ht="16.350000000000001" customHeight="1" x14ac:dyDescent="0.2">
      <c r="L302" s="18" t="s">
        <v>2</v>
      </c>
      <c r="M302" s="19">
        <f t="shared" si="47"/>
        <v>1900</v>
      </c>
      <c r="N302" s="19" t="str">
        <f t="shared" si="48"/>
        <v>01</v>
      </c>
      <c r="O302" s="19" t="str">
        <f t="shared" si="49"/>
        <v>00</v>
      </c>
      <c r="P302" s="18" t="str">
        <f t="shared" si="52"/>
        <v>19000100</v>
      </c>
      <c r="Q302" s="20"/>
      <c r="R302" s="18" t="s">
        <v>27</v>
      </c>
      <c r="S302" s="18">
        <f t="shared" ca="1" si="53"/>
        <v>2022</v>
      </c>
      <c r="T302" s="21">
        <f t="shared" ca="1" si="50"/>
        <v>12</v>
      </c>
      <c r="U302" s="21" t="str">
        <f t="shared" ca="1" si="51"/>
        <v>05</v>
      </c>
      <c r="V302" s="21" t="str">
        <f t="shared" ca="1" si="54"/>
        <v>20221205</v>
      </c>
    </row>
    <row r="303" spans="12:22" ht="16.350000000000001" customHeight="1" x14ac:dyDescent="0.2">
      <c r="L303" s="18" t="s">
        <v>2</v>
      </c>
      <c r="M303" s="19">
        <f t="shared" si="47"/>
        <v>1900</v>
      </c>
      <c r="N303" s="19" t="str">
        <f t="shared" si="48"/>
        <v>01</v>
      </c>
      <c r="O303" s="19" t="str">
        <f t="shared" si="49"/>
        <v>00</v>
      </c>
      <c r="P303" s="18" t="str">
        <f t="shared" si="52"/>
        <v>19000100</v>
      </c>
      <c r="Q303" s="20"/>
      <c r="R303" s="18" t="s">
        <v>27</v>
      </c>
      <c r="S303" s="18">
        <f t="shared" ca="1" si="53"/>
        <v>2022</v>
      </c>
      <c r="T303" s="21">
        <f t="shared" ca="1" si="50"/>
        <v>12</v>
      </c>
      <c r="U303" s="21" t="str">
        <f t="shared" ca="1" si="51"/>
        <v>05</v>
      </c>
      <c r="V303" s="21" t="str">
        <f t="shared" ca="1" si="54"/>
        <v>20221205</v>
      </c>
    </row>
    <row r="304" spans="12:22" ht="16.350000000000001" customHeight="1" x14ac:dyDescent="0.2">
      <c r="L304" s="18" t="s">
        <v>2</v>
      </c>
      <c r="M304" s="19">
        <f t="shared" si="47"/>
        <v>1900</v>
      </c>
      <c r="N304" s="19" t="str">
        <f t="shared" si="48"/>
        <v>01</v>
      </c>
      <c r="O304" s="19" t="str">
        <f t="shared" si="49"/>
        <v>00</v>
      </c>
      <c r="P304" s="18" t="str">
        <f t="shared" si="52"/>
        <v>19000100</v>
      </c>
      <c r="Q304" s="20"/>
      <c r="R304" s="18" t="s">
        <v>27</v>
      </c>
      <c r="S304" s="18">
        <f t="shared" ca="1" si="53"/>
        <v>2022</v>
      </c>
      <c r="T304" s="21">
        <f t="shared" ca="1" si="50"/>
        <v>12</v>
      </c>
      <c r="U304" s="21" t="str">
        <f t="shared" ca="1" si="51"/>
        <v>05</v>
      </c>
      <c r="V304" s="21" t="str">
        <f t="shared" ca="1" si="54"/>
        <v>20221205</v>
      </c>
    </row>
    <row r="305" spans="12:22" ht="16.350000000000001" customHeight="1" x14ac:dyDescent="0.2">
      <c r="L305" s="18" t="s">
        <v>2</v>
      </c>
      <c r="M305" s="19">
        <f t="shared" si="47"/>
        <v>1900</v>
      </c>
      <c r="N305" s="19" t="str">
        <f t="shared" si="48"/>
        <v>01</v>
      </c>
      <c r="O305" s="19" t="str">
        <f t="shared" si="49"/>
        <v>00</v>
      </c>
      <c r="P305" s="18" t="str">
        <f t="shared" si="52"/>
        <v>19000100</v>
      </c>
      <c r="Q305" s="20"/>
      <c r="R305" s="18" t="s">
        <v>27</v>
      </c>
      <c r="S305" s="18">
        <f t="shared" ca="1" si="53"/>
        <v>2022</v>
      </c>
      <c r="T305" s="21">
        <f t="shared" ca="1" si="50"/>
        <v>12</v>
      </c>
      <c r="U305" s="21" t="str">
        <f t="shared" ca="1" si="51"/>
        <v>05</v>
      </c>
      <c r="V305" s="21" t="str">
        <f t="shared" ca="1" si="54"/>
        <v>20221205</v>
      </c>
    </row>
    <row r="306" spans="12:22" ht="16.350000000000001" customHeight="1" x14ac:dyDescent="0.2">
      <c r="L306" s="18" t="s">
        <v>2</v>
      </c>
      <c r="M306" s="19">
        <f t="shared" si="47"/>
        <v>1900</v>
      </c>
      <c r="N306" s="19" t="str">
        <f t="shared" si="48"/>
        <v>01</v>
      </c>
      <c r="O306" s="19" t="str">
        <f t="shared" si="49"/>
        <v>00</v>
      </c>
      <c r="P306" s="18" t="str">
        <f t="shared" si="52"/>
        <v>19000100</v>
      </c>
      <c r="Q306" s="20"/>
      <c r="R306" s="18" t="s">
        <v>27</v>
      </c>
      <c r="S306" s="18">
        <f t="shared" ca="1" si="53"/>
        <v>2022</v>
      </c>
      <c r="T306" s="21">
        <f t="shared" ca="1" si="50"/>
        <v>12</v>
      </c>
      <c r="U306" s="21" t="str">
        <f t="shared" ca="1" si="51"/>
        <v>05</v>
      </c>
      <c r="V306" s="21" t="str">
        <f t="shared" ca="1" si="54"/>
        <v>20221205</v>
      </c>
    </row>
    <row r="307" spans="12:22" ht="16.350000000000001" customHeight="1" x14ac:dyDescent="0.2">
      <c r="L307" s="18" t="s">
        <v>2</v>
      </c>
      <c r="M307" s="19">
        <f t="shared" si="47"/>
        <v>1900</v>
      </c>
      <c r="N307" s="19" t="str">
        <f t="shared" si="48"/>
        <v>01</v>
      </c>
      <c r="O307" s="19" t="str">
        <f t="shared" si="49"/>
        <v>00</v>
      </c>
      <c r="P307" s="18" t="str">
        <f t="shared" si="52"/>
        <v>19000100</v>
      </c>
      <c r="Q307" s="20"/>
      <c r="R307" s="18" t="s">
        <v>27</v>
      </c>
      <c r="S307" s="18">
        <f t="shared" ca="1" si="53"/>
        <v>2022</v>
      </c>
      <c r="T307" s="21">
        <f t="shared" ca="1" si="50"/>
        <v>12</v>
      </c>
      <c r="U307" s="21" t="str">
        <f t="shared" ca="1" si="51"/>
        <v>05</v>
      </c>
      <c r="V307" s="21" t="str">
        <f t="shared" ca="1" si="54"/>
        <v>20221205</v>
      </c>
    </row>
    <row r="308" spans="12:22" ht="16.350000000000001" customHeight="1" x14ac:dyDescent="0.2">
      <c r="L308" s="18" t="s">
        <v>2</v>
      </c>
      <c r="M308" s="19">
        <f t="shared" si="47"/>
        <v>1900</v>
      </c>
      <c r="N308" s="19" t="str">
        <f t="shared" si="48"/>
        <v>01</v>
      </c>
      <c r="O308" s="19" t="str">
        <f t="shared" si="49"/>
        <v>00</v>
      </c>
      <c r="P308" s="18" t="str">
        <f t="shared" si="52"/>
        <v>19000100</v>
      </c>
      <c r="Q308" s="20"/>
      <c r="R308" s="18" t="s">
        <v>27</v>
      </c>
      <c r="S308" s="18">
        <f t="shared" ca="1" si="53"/>
        <v>2022</v>
      </c>
      <c r="T308" s="21">
        <f t="shared" ca="1" si="50"/>
        <v>12</v>
      </c>
      <c r="U308" s="21" t="str">
        <f t="shared" ca="1" si="51"/>
        <v>05</v>
      </c>
      <c r="V308" s="21" t="str">
        <f t="shared" ca="1" si="54"/>
        <v>20221205</v>
      </c>
    </row>
    <row r="309" spans="12:22" ht="16.350000000000001" customHeight="1" x14ac:dyDescent="0.2">
      <c r="L309" s="18" t="s">
        <v>2</v>
      </c>
      <c r="M309" s="19">
        <f t="shared" si="47"/>
        <v>1900</v>
      </c>
      <c r="N309" s="19" t="str">
        <f t="shared" si="48"/>
        <v>01</v>
      </c>
      <c r="O309" s="19" t="str">
        <f t="shared" si="49"/>
        <v>00</v>
      </c>
      <c r="P309" s="18" t="str">
        <f t="shared" si="52"/>
        <v>19000100</v>
      </c>
      <c r="Q309" s="20"/>
      <c r="R309" s="18" t="s">
        <v>27</v>
      </c>
      <c r="S309" s="18">
        <f t="shared" ca="1" si="53"/>
        <v>2022</v>
      </c>
      <c r="T309" s="21">
        <f t="shared" ca="1" si="50"/>
        <v>12</v>
      </c>
      <c r="U309" s="21" t="str">
        <f t="shared" ca="1" si="51"/>
        <v>05</v>
      </c>
      <c r="V309" s="21" t="str">
        <f t="shared" ca="1" si="54"/>
        <v>20221205</v>
      </c>
    </row>
    <row r="310" spans="12:22" ht="16.350000000000001" customHeight="1" x14ac:dyDescent="0.2">
      <c r="L310" s="18" t="s">
        <v>2</v>
      </c>
      <c r="M310" s="19">
        <f t="shared" si="47"/>
        <v>1900</v>
      </c>
      <c r="N310" s="19" t="str">
        <f t="shared" si="48"/>
        <v>01</v>
      </c>
      <c r="O310" s="19" t="str">
        <f t="shared" si="49"/>
        <v>00</v>
      </c>
      <c r="P310" s="18" t="str">
        <f t="shared" si="52"/>
        <v>19000100</v>
      </c>
      <c r="Q310" s="20"/>
      <c r="R310" s="18" t="s">
        <v>27</v>
      </c>
      <c r="S310" s="18">
        <f t="shared" ca="1" si="53"/>
        <v>2022</v>
      </c>
      <c r="T310" s="21">
        <f t="shared" ca="1" si="50"/>
        <v>12</v>
      </c>
      <c r="U310" s="21" t="str">
        <f t="shared" ca="1" si="51"/>
        <v>05</v>
      </c>
      <c r="V310" s="21" t="str">
        <f t="shared" ca="1" si="54"/>
        <v>20221205</v>
      </c>
    </row>
    <row r="311" spans="12:22" ht="16.350000000000001" customHeight="1" x14ac:dyDescent="0.2">
      <c r="L311" s="18" t="s">
        <v>2</v>
      </c>
      <c r="M311" s="19">
        <f t="shared" si="47"/>
        <v>1900</v>
      </c>
      <c r="N311" s="19" t="str">
        <f t="shared" si="48"/>
        <v>01</v>
      </c>
      <c r="O311" s="19" t="str">
        <f t="shared" si="49"/>
        <v>00</v>
      </c>
      <c r="P311" s="18" t="str">
        <f t="shared" si="52"/>
        <v>19000100</v>
      </c>
      <c r="Q311" s="20"/>
      <c r="R311" s="18" t="s">
        <v>27</v>
      </c>
      <c r="S311" s="18">
        <f t="shared" ca="1" si="53"/>
        <v>2022</v>
      </c>
      <c r="T311" s="21">
        <f t="shared" ca="1" si="50"/>
        <v>12</v>
      </c>
      <c r="U311" s="21" t="str">
        <f t="shared" ca="1" si="51"/>
        <v>05</v>
      </c>
      <c r="V311" s="21" t="str">
        <f t="shared" ca="1" si="54"/>
        <v>20221205</v>
      </c>
    </row>
    <row r="312" spans="12:22" ht="16.350000000000001" customHeight="1" x14ac:dyDescent="0.2">
      <c r="L312" s="18" t="s">
        <v>2</v>
      </c>
      <c r="M312" s="19">
        <f t="shared" si="47"/>
        <v>1900</v>
      </c>
      <c r="N312" s="19" t="str">
        <f t="shared" si="48"/>
        <v>01</v>
      </c>
      <c r="O312" s="19" t="str">
        <f t="shared" si="49"/>
        <v>00</v>
      </c>
      <c r="P312" s="18" t="str">
        <f t="shared" si="52"/>
        <v>19000100</v>
      </c>
      <c r="Q312" s="20"/>
      <c r="R312" s="18" t="s">
        <v>27</v>
      </c>
      <c r="S312" s="18">
        <f t="shared" ca="1" si="53"/>
        <v>2022</v>
      </c>
      <c r="T312" s="21">
        <f t="shared" ca="1" si="50"/>
        <v>12</v>
      </c>
      <c r="U312" s="21" t="str">
        <f t="shared" ca="1" si="51"/>
        <v>05</v>
      </c>
      <c r="V312" s="21" t="str">
        <f t="shared" ca="1" si="54"/>
        <v>20221205</v>
      </c>
    </row>
    <row r="313" spans="12:22" ht="16.350000000000001" customHeight="1" x14ac:dyDescent="0.2">
      <c r="L313" s="18" t="s">
        <v>2</v>
      </c>
      <c r="M313" s="19">
        <f t="shared" si="47"/>
        <v>1900</v>
      </c>
      <c r="N313" s="19" t="str">
        <f t="shared" si="48"/>
        <v>01</v>
      </c>
      <c r="O313" s="19" t="str">
        <f t="shared" si="49"/>
        <v>00</v>
      </c>
      <c r="P313" s="18" t="str">
        <f t="shared" si="52"/>
        <v>19000100</v>
      </c>
      <c r="Q313" s="20"/>
      <c r="R313" s="18" t="s">
        <v>27</v>
      </c>
      <c r="S313" s="18">
        <f t="shared" ca="1" si="53"/>
        <v>2022</v>
      </c>
      <c r="T313" s="21">
        <f t="shared" ca="1" si="50"/>
        <v>12</v>
      </c>
      <c r="U313" s="21" t="str">
        <f t="shared" ca="1" si="51"/>
        <v>05</v>
      </c>
      <c r="V313" s="21" t="str">
        <f t="shared" ca="1" si="54"/>
        <v>20221205</v>
      </c>
    </row>
    <row r="314" spans="12:22" ht="16.350000000000001" customHeight="1" x14ac:dyDescent="0.2">
      <c r="L314" s="18" t="s">
        <v>2</v>
      </c>
      <c r="M314" s="19">
        <f t="shared" si="47"/>
        <v>1900</v>
      </c>
      <c r="N314" s="19" t="str">
        <f t="shared" si="48"/>
        <v>01</v>
      </c>
      <c r="O314" s="19" t="str">
        <f t="shared" si="49"/>
        <v>00</v>
      </c>
      <c r="P314" s="18" t="str">
        <f t="shared" si="52"/>
        <v>19000100</v>
      </c>
      <c r="Q314" s="20"/>
      <c r="R314" s="18" t="s">
        <v>27</v>
      </c>
      <c r="S314" s="18">
        <f t="shared" ca="1" si="53"/>
        <v>2022</v>
      </c>
      <c r="T314" s="21">
        <f t="shared" ca="1" si="50"/>
        <v>12</v>
      </c>
      <c r="U314" s="21" t="str">
        <f t="shared" ca="1" si="51"/>
        <v>05</v>
      </c>
      <c r="V314" s="21" t="str">
        <f t="shared" ca="1" si="54"/>
        <v>20221205</v>
      </c>
    </row>
    <row r="315" spans="12:22" ht="16.350000000000001" customHeight="1" x14ac:dyDescent="0.2">
      <c r="L315" s="18" t="s">
        <v>2</v>
      </c>
      <c r="M315" s="19">
        <f t="shared" ref="M315:M368" si="55">YEAR(G315)</f>
        <v>1900</v>
      </c>
      <c r="N315" s="19" t="str">
        <f t="shared" ref="N315:N368" si="56">IF(MONTH(G315)&lt;10,CONCATENATE(0,MONTH(G315)),MONTH(G315))</f>
        <v>01</v>
      </c>
      <c r="O315" s="19" t="str">
        <f t="shared" ref="O315:O368" si="57">IF(DAY(G315)&lt;10,CONCATENATE(0,DAY(G315)),DAY(G315))</f>
        <v>00</v>
      </c>
      <c r="P315" s="18" t="str">
        <f t="shared" si="52"/>
        <v>19000100</v>
      </c>
      <c r="Q315" s="20"/>
      <c r="R315" s="18" t="s">
        <v>27</v>
      </c>
      <c r="S315" s="18">
        <f t="shared" ca="1" si="53"/>
        <v>2022</v>
      </c>
      <c r="T315" s="21">
        <f t="shared" ca="1" si="50"/>
        <v>12</v>
      </c>
      <c r="U315" s="21" t="str">
        <f t="shared" ca="1" si="51"/>
        <v>05</v>
      </c>
      <c r="V315" s="21" t="str">
        <f t="shared" ca="1" si="54"/>
        <v>20221205</v>
      </c>
    </row>
    <row r="316" spans="12:22" ht="16.350000000000001" customHeight="1" x14ac:dyDescent="0.2">
      <c r="L316" s="18" t="s">
        <v>2</v>
      </c>
      <c r="M316" s="19">
        <f t="shared" si="55"/>
        <v>1900</v>
      </c>
      <c r="N316" s="19" t="str">
        <f t="shared" si="56"/>
        <v>01</v>
      </c>
      <c r="O316" s="19" t="str">
        <f t="shared" si="57"/>
        <v>00</v>
      </c>
      <c r="P316" s="18" t="str">
        <f t="shared" si="52"/>
        <v>19000100</v>
      </c>
      <c r="Q316" s="20"/>
      <c r="R316" s="18" t="s">
        <v>27</v>
      </c>
      <c r="S316" s="18">
        <f t="shared" ca="1" si="53"/>
        <v>2022</v>
      </c>
      <c r="T316" s="21">
        <f t="shared" ca="1" si="50"/>
        <v>12</v>
      </c>
      <c r="U316" s="21" t="str">
        <f t="shared" ca="1" si="51"/>
        <v>05</v>
      </c>
      <c r="V316" s="21" t="str">
        <f t="shared" ca="1" si="54"/>
        <v>20221205</v>
      </c>
    </row>
    <row r="317" spans="12:22" ht="16.350000000000001" customHeight="1" x14ac:dyDescent="0.2">
      <c r="L317" s="18" t="s">
        <v>2</v>
      </c>
      <c r="M317" s="19">
        <f t="shared" si="55"/>
        <v>1900</v>
      </c>
      <c r="N317" s="19" t="str">
        <f t="shared" si="56"/>
        <v>01</v>
      </c>
      <c r="O317" s="19" t="str">
        <f t="shared" si="57"/>
        <v>00</v>
      </c>
      <c r="P317" s="18" t="str">
        <f t="shared" si="52"/>
        <v>19000100</v>
      </c>
      <c r="Q317" s="20"/>
      <c r="R317" s="18" t="s">
        <v>27</v>
      </c>
      <c r="S317" s="18">
        <f t="shared" ca="1" si="53"/>
        <v>2022</v>
      </c>
      <c r="T317" s="21">
        <f t="shared" ca="1" si="50"/>
        <v>12</v>
      </c>
      <c r="U317" s="21" t="str">
        <f t="shared" ca="1" si="51"/>
        <v>05</v>
      </c>
      <c r="V317" s="21" t="str">
        <f t="shared" ca="1" si="54"/>
        <v>20221205</v>
      </c>
    </row>
    <row r="318" spans="12:22" ht="16.350000000000001" customHeight="1" x14ac:dyDescent="0.2">
      <c r="L318" s="18" t="s">
        <v>2</v>
      </c>
      <c r="M318" s="19">
        <f t="shared" si="55"/>
        <v>1900</v>
      </c>
      <c r="N318" s="19" t="str">
        <f t="shared" si="56"/>
        <v>01</v>
      </c>
      <c r="O318" s="19" t="str">
        <f t="shared" si="57"/>
        <v>00</v>
      </c>
      <c r="P318" s="18" t="str">
        <f t="shared" si="52"/>
        <v>19000100</v>
      </c>
      <c r="Q318" s="20"/>
      <c r="R318" s="18" t="s">
        <v>27</v>
      </c>
      <c r="S318" s="18">
        <f t="shared" ca="1" si="53"/>
        <v>2022</v>
      </c>
      <c r="T318" s="21">
        <f t="shared" ca="1" si="50"/>
        <v>12</v>
      </c>
      <c r="U318" s="21" t="str">
        <f t="shared" ca="1" si="51"/>
        <v>05</v>
      </c>
      <c r="V318" s="21" t="str">
        <f t="shared" ca="1" si="54"/>
        <v>20221205</v>
      </c>
    </row>
    <row r="319" spans="12:22" ht="16.350000000000001" customHeight="1" x14ac:dyDescent="0.2">
      <c r="L319" s="18" t="s">
        <v>2</v>
      </c>
      <c r="M319" s="19">
        <f t="shared" si="55"/>
        <v>1900</v>
      </c>
      <c r="N319" s="19" t="str">
        <f t="shared" si="56"/>
        <v>01</v>
      </c>
      <c r="O319" s="19" t="str">
        <f t="shared" si="57"/>
        <v>00</v>
      </c>
      <c r="P319" s="18" t="str">
        <f t="shared" si="52"/>
        <v>19000100</v>
      </c>
      <c r="Q319" s="20"/>
      <c r="R319" s="18" t="s">
        <v>27</v>
      </c>
      <c r="S319" s="18">
        <f t="shared" ca="1" si="53"/>
        <v>2022</v>
      </c>
      <c r="T319" s="21">
        <f t="shared" ca="1" si="50"/>
        <v>12</v>
      </c>
      <c r="U319" s="21" t="str">
        <f t="shared" ca="1" si="51"/>
        <v>05</v>
      </c>
      <c r="V319" s="21" t="str">
        <f t="shared" ca="1" si="54"/>
        <v>20221205</v>
      </c>
    </row>
    <row r="320" spans="12:22" ht="16.350000000000001" customHeight="1" x14ac:dyDescent="0.2">
      <c r="L320" s="18" t="s">
        <v>2</v>
      </c>
      <c r="M320" s="19">
        <f t="shared" si="55"/>
        <v>1900</v>
      </c>
      <c r="N320" s="19" t="str">
        <f t="shared" si="56"/>
        <v>01</v>
      </c>
      <c r="O320" s="19" t="str">
        <f t="shared" si="57"/>
        <v>00</v>
      </c>
      <c r="P320" s="18" t="str">
        <f t="shared" si="52"/>
        <v>19000100</v>
      </c>
      <c r="Q320" s="20"/>
      <c r="R320" s="18" t="s">
        <v>27</v>
      </c>
      <c r="S320" s="18">
        <f t="shared" ca="1" si="53"/>
        <v>2022</v>
      </c>
      <c r="T320" s="21">
        <f t="shared" ca="1" si="50"/>
        <v>12</v>
      </c>
      <c r="U320" s="21" t="str">
        <f t="shared" ca="1" si="51"/>
        <v>05</v>
      </c>
      <c r="V320" s="21" t="str">
        <f t="shared" ca="1" si="54"/>
        <v>20221205</v>
      </c>
    </row>
    <row r="321" spans="12:22" ht="16.350000000000001" customHeight="1" x14ac:dyDescent="0.2">
      <c r="L321" s="18" t="s">
        <v>2</v>
      </c>
      <c r="M321" s="19">
        <f t="shared" si="55"/>
        <v>1900</v>
      </c>
      <c r="N321" s="19" t="str">
        <f t="shared" si="56"/>
        <v>01</v>
      </c>
      <c r="O321" s="19" t="str">
        <f t="shared" si="57"/>
        <v>00</v>
      </c>
      <c r="P321" s="18" t="str">
        <f t="shared" si="52"/>
        <v>19000100</v>
      </c>
      <c r="Q321" s="20"/>
      <c r="R321" s="18" t="s">
        <v>27</v>
      </c>
      <c r="S321" s="18">
        <f t="shared" ca="1" si="53"/>
        <v>2022</v>
      </c>
      <c r="T321" s="21">
        <f t="shared" ca="1" si="50"/>
        <v>12</v>
      </c>
      <c r="U321" s="21" t="str">
        <f t="shared" ca="1" si="51"/>
        <v>05</v>
      </c>
      <c r="V321" s="21" t="str">
        <f t="shared" ca="1" si="54"/>
        <v>20221205</v>
      </c>
    </row>
    <row r="322" spans="12:22" ht="16.350000000000001" customHeight="1" x14ac:dyDescent="0.2">
      <c r="L322" s="18" t="s">
        <v>2</v>
      </c>
      <c r="M322" s="19">
        <f t="shared" si="55"/>
        <v>1900</v>
      </c>
      <c r="N322" s="19" t="str">
        <f t="shared" si="56"/>
        <v>01</v>
      </c>
      <c r="O322" s="19" t="str">
        <f t="shared" si="57"/>
        <v>00</v>
      </c>
      <c r="P322" s="18" t="str">
        <f t="shared" si="52"/>
        <v>19000100</v>
      </c>
      <c r="Q322" s="20"/>
      <c r="R322" s="18" t="s">
        <v>27</v>
      </c>
      <c r="S322" s="18">
        <f t="shared" ca="1" si="53"/>
        <v>2022</v>
      </c>
      <c r="T322" s="21">
        <f t="shared" ca="1" si="50"/>
        <v>12</v>
      </c>
      <c r="U322" s="21" t="str">
        <f t="shared" ca="1" si="51"/>
        <v>05</v>
      </c>
      <c r="V322" s="21" t="str">
        <f t="shared" ca="1" si="54"/>
        <v>20221205</v>
      </c>
    </row>
    <row r="323" spans="12:22" ht="16.350000000000001" customHeight="1" x14ac:dyDescent="0.2">
      <c r="L323" s="18" t="s">
        <v>2</v>
      </c>
      <c r="M323" s="19">
        <f t="shared" si="55"/>
        <v>1900</v>
      </c>
      <c r="N323" s="19" t="str">
        <f t="shared" si="56"/>
        <v>01</v>
      </c>
      <c r="O323" s="19" t="str">
        <f t="shared" si="57"/>
        <v>00</v>
      </c>
      <c r="P323" s="18" t="str">
        <f t="shared" si="52"/>
        <v>19000100</v>
      </c>
      <c r="Q323" s="20"/>
      <c r="R323" s="18" t="s">
        <v>27</v>
      </c>
      <c r="S323" s="18">
        <f t="shared" ca="1" si="53"/>
        <v>2022</v>
      </c>
      <c r="T323" s="21">
        <f t="shared" ca="1" si="50"/>
        <v>12</v>
      </c>
      <c r="U323" s="21" t="str">
        <f t="shared" ca="1" si="51"/>
        <v>05</v>
      </c>
      <c r="V323" s="21" t="str">
        <f t="shared" ca="1" si="54"/>
        <v>20221205</v>
      </c>
    </row>
    <row r="324" spans="12:22" ht="16.350000000000001" customHeight="1" x14ac:dyDescent="0.2">
      <c r="L324" s="18" t="s">
        <v>2</v>
      </c>
      <c r="M324" s="19">
        <f t="shared" si="55"/>
        <v>1900</v>
      </c>
      <c r="N324" s="19" t="str">
        <f t="shared" si="56"/>
        <v>01</v>
      </c>
      <c r="O324" s="19" t="str">
        <f t="shared" si="57"/>
        <v>00</v>
      </c>
      <c r="P324" s="18" t="str">
        <f t="shared" si="52"/>
        <v>19000100</v>
      </c>
      <c r="Q324" s="20"/>
      <c r="R324" s="18" t="s">
        <v>27</v>
      </c>
      <c r="S324" s="18">
        <f t="shared" ca="1" si="53"/>
        <v>2022</v>
      </c>
      <c r="T324" s="21">
        <f t="shared" ca="1" si="50"/>
        <v>12</v>
      </c>
      <c r="U324" s="21" t="str">
        <f t="shared" ca="1" si="51"/>
        <v>05</v>
      </c>
      <c r="V324" s="21" t="str">
        <f t="shared" ca="1" si="54"/>
        <v>20221205</v>
      </c>
    </row>
    <row r="325" spans="12:22" ht="16.350000000000001" customHeight="1" x14ac:dyDescent="0.2">
      <c r="L325" s="18" t="s">
        <v>2</v>
      </c>
      <c r="M325" s="19">
        <f t="shared" si="55"/>
        <v>1900</v>
      </c>
      <c r="N325" s="19" t="str">
        <f t="shared" si="56"/>
        <v>01</v>
      </c>
      <c r="O325" s="19" t="str">
        <f t="shared" si="57"/>
        <v>00</v>
      </c>
      <c r="P325" s="18" t="str">
        <f t="shared" si="52"/>
        <v>19000100</v>
      </c>
      <c r="Q325" s="20"/>
      <c r="R325" s="18" t="s">
        <v>27</v>
      </c>
      <c r="S325" s="18">
        <f t="shared" ca="1" si="53"/>
        <v>2022</v>
      </c>
      <c r="T325" s="21">
        <f t="shared" ca="1" si="50"/>
        <v>12</v>
      </c>
      <c r="U325" s="21" t="str">
        <f t="shared" ca="1" si="51"/>
        <v>05</v>
      </c>
      <c r="V325" s="21" t="str">
        <f t="shared" ca="1" si="54"/>
        <v>20221205</v>
      </c>
    </row>
    <row r="326" spans="12:22" ht="16.350000000000001" customHeight="1" x14ac:dyDescent="0.2">
      <c r="L326" s="18" t="s">
        <v>2</v>
      </c>
      <c r="M326" s="19">
        <f t="shared" si="55"/>
        <v>1900</v>
      </c>
      <c r="N326" s="19" t="str">
        <f t="shared" si="56"/>
        <v>01</v>
      </c>
      <c r="O326" s="19" t="str">
        <f t="shared" si="57"/>
        <v>00</v>
      </c>
      <c r="P326" s="18" t="str">
        <f t="shared" si="52"/>
        <v>19000100</v>
      </c>
      <c r="Q326" s="20"/>
      <c r="R326" s="18" t="s">
        <v>27</v>
      </c>
      <c r="S326" s="18">
        <f t="shared" ca="1" si="53"/>
        <v>2022</v>
      </c>
      <c r="T326" s="21">
        <f t="shared" ca="1" si="50"/>
        <v>12</v>
      </c>
      <c r="U326" s="21" t="str">
        <f t="shared" ca="1" si="51"/>
        <v>05</v>
      </c>
      <c r="V326" s="21" t="str">
        <f t="shared" ca="1" si="54"/>
        <v>20221205</v>
      </c>
    </row>
    <row r="327" spans="12:22" ht="16.350000000000001" customHeight="1" x14ac:dyDescent="0.2">
      <c r="L327" s="18" t="s">
        <v>2</v>
      </c>
      <c r="M327" s="19">
        <f t="shared" si="55"/>
        <v>1900</v>
      </c>
      <c r="N327" s="19" t="str">
        <f t="shared" si="56"/>
        <v>01</v>
      </c>
      <c r="O327" s="19" t="str">
        <f t="shared" si="57"/>
        <v>00</v>
      </c>
      <c r="P327" s="18" t="str">
        <f t="shared" si="52"/>
        <v>19000100</v>
      </c>
      <c r="Q327" s="20"/>
      <c r="R327" s="18" t="s">
        <v>27</v>
      </c>
      <c r="S327" s="18">
        <f t="shared" ca="1" si="53"/>
        <v>2022</v>
      </c>
      <c r="T327" s="21">
        <f t="shared" ca="1" si="50"/>
        <v>12</v>
      </c>
      <c r="U327" s="21" t="str">
        <f t="shared" ca="1" si="51"/>
        <v>05</v>
      </c>
      <c r="V327" s="21" t="str">
        <f t="shared" ca="1" si="54"/>
        <v>20221205</v>
      </c>
    </row>
    <row r="328" spans="12:22" ht="16.350000000000001" customHeight="1" x14ac:dyDescent="0.2">
      <c r="L328" s="18" t="s">
        <v>2</v>
      </c>
      <c r="M328" s="19">
        <f t="shared" si="55"/>
        <v>1900</v>
      </c>
      <c r="N328" s="19" t="str">
        <f t="shared" si="56"/>
        <v>01</v>
      </c>
      <c r="O328" s="19" t="str">
        <f t="shared" si="57"/>
        <v>00</v>
      </c>
      <c r="P328" s="18" t="str">
        <f t="shared" si="52"/>
        <v>19000100</v>
      </c>
      <c r="Q328" s="20"/>
      <c r="R328" s="18" t="s">
        <v>27</v>
      </c>
      <c r="S328" s="18">
        <f t="shared" ca="1" si="53"/>
        <v>2022</v>
      </c>
      <c r="T328" s="21">
        <f t="shared" ca="1" si="50"/>
        <v>12</v>
      </c>
      <c r="U328" s="21" t="str">
        <f t="shared" ca="1" si="51"/>
        <v>05</v>
      </c>
      <c r="V328" s="21" t="str">
        <f t="shared" ca="1" si="54"/>
        <v>20221205</v>
      </c>
    </row>
    <row r="329" spans="12:22" ht="16.350000000000001" customHeight="1" x14ac:dyDescent="0.2">
      <c r="L329" s="18" t="s">
        <v>2</v>
      </c>
      <c r="M329" s="19">
        <f t="shared" si="55"/>
        <v>1900</v>
      </c>
      <c r="N329" s="19" t="str">
        <f t="shared" si="56"/>
        <v>01</v>
      </c>
      <c r="O329" s="19" t="str">
        <f t="shared" si="57"/>
        <v>00</v>
      </c>
      <c r="P329" s="18" t="str">
        <f t="shared" si="52"/>
        <v>19000100</v>
      </c>
      <c r="Q329" s="20"/>
      <c r="R329" s="18" t="s">
        <v>27</v>
      </c>
      <c r="S329" s="18">
        <f t="shared" ca="1" si="53"/>
        <v>2022</v>
      </c>
      <c r="T329" s="21">
        <f t="shared" ca="1" si="50"/>
        <v>12</v>
      </c>
      <c r="U329" s="21" t="str">
        <f t="shared" ca="1" si="51"/>
        <v>05</v>
      </c>
      <c r="V329" s="21" t="str">
        <f t="shared" ca="1" si="54"/>
        <v>20221205</v>
      </c>
    </row>
    <row r="330" spans="12:22" ht="16.350000000000001" customHeight="1" x14ac:dyDescent="0.2">
      <c r="L330" s="18" t="s">
        <v>2</v>
      </c>
      <c r="M330" s="19">
        <f t="shared" si="55"/>
        <v>1900</v>
      </c>
      <c r="N330" s="19" t="str">
        <f t="shared" si="56"/>
        <v>01</v>
      </c>
      <c r="O330" s="19" t="str">
        <f t="shared" si="57"/>
        <v>00</v>
      </c>
      <c r="P330" s="18" t="str">
        <f t="shared" si="52"/>
        <v>19000100</v>
      </c>
      <c r="Q330" s="20"/>
      <c r="R330" s="18" t="s">
        <v>27</v>
      </c>
      <c r="S330" s="18">
        <f t="shared" ca="1" si="53"/>
        <v>2022</v>
      </c>
      <c r="T330" s="21">
        <f t="shared" ca="1" si="50"/>
        <v>12</v>
      </c>
      <c r="U330" s="21" t="str">
        <f t="shared" ca="1" si="51"/>
        <v>05</v>
      </c>
      <c r="V330" s="21" t="str">
        <f t="shared" ca="1" si="54"/>
        <v>20221205</v>
      </c>
    </row>
    <row r="331" spans="12:22" ht="16.350000000000001" customHeight="1" x14ac:dyDescent="0.2">
      <c r="L331" s="18" t="s">
        <v>2</v>
      </c>
      <c r="M331" s="19">
        <f t="shared" si="55"/>
        <v>1900</v>
      </c>
      <c r="N331" s="19" t="str">
        <f t="shared" si="56"/>
        <v>01</v>
      </c>
      <c r="O331" s="19" t="str">
        <f t="shared" si="57"/>
        <v>00</v>
      </c>
      <c r="P331" s="18" t="str">
        <f t="shared" si="52"/>
        <v>19000100</v>
      </c>
      <c r="Q331" s="20"/>
      <c r="R331" s="18" t="s">
        <v>27</v>
      </c>
      <c r="S331" s="18">
        <f t="shared" ca="1" si="53"/>
        <v>2022</v>
      </c>
      <c r="T331" s="21">
        <f t="shared" ca="1" si="50"/>
        <v>12</v>
      </c>
      <c r="U331" s="21" t="str">
        <f t="shared" ca="1" si="51"/>
        <v>05</v>
      </c>
      <c r="V331" s="21" t="str">
        <f t="shared" ca="1" si="54"/>
        <v>20221205</v>
      </c>
    </row>
    <row r="332" spans="12:22" ht="16.350000000000001" customHeight="1" x14ac:dyDescent="0.2">
      <c r="L332" s="18" t="s">
        <v>2</v>
      </c>
      <c r="M332" s="19">
        <f t="shared" si="55"/>
        <v>1900</v>
      </c>
      <c r="N332" s="19" t="str">
        <f t="shared" si="56"/>
        <v>01</v>
      </c>
      <c r="O332" s="19" t="str">
        <f t="shared" si="57"/>
        <v>00</v>
      </c>
      <c r="P332" s="18" t="str">
        <f t="shared" si="52"/>
        <v>19000100</v>
      </c>
      <c r="Q332" s="20"/>
      <c r="R332" s="18" t="s">
        <v>27</v>
      </c>
      <c r="S332" s="18">
        <f t="shared" ca="1" si="53"/>
        <v>2022</v>
      </c>
      <c r="T332" s="21">
        <f t="shared" ca="1" si="50"/>
        <v>12</v>
      </c>
      <c r="U332" s="21" t="str">
        <f t="shared" ca="1" si="51"/>
        <v>05</v>
      </c>
      <c r="V332" s="21" t="str">
        <f t="shared" ca="1" si="54"/>
        <v>20221205</v>
      </c>
    </row>
    <row r="333" spans="12:22" ht="16.350000000000001" customHeight="1" x14ac:dyDescent="0.2">
      <c r="L333" s="18" t="s">
        <v>2</v>
      </c>
      <c r="M333" s="19">
        <f t="shared" si="55"/>
        <v>1900</v>
      </c>
      <c r="N333" s="19" t="str">
        <f t="shared" si="56"/>
        <v>01</v>
      </c>
      <c r="O333" s="19" t="str">
        <f t="shared" si="57"/>
        <v>00</v>
      </c>
      <c r="P333" s="18" t="str">
        <f t="shared" si="52"/>
        <v>19000100</v>
      </c>
      <c r="Q333" s="20"/>
      <c r="R333" s="18" t="s">
        <v>27</v>
      </c>
      <c r="S333" s="18">
        <f t="shared" ca="1" si="53"/>
        <v>2022</v>
      </c>
      <c r="T333" s="21">
        <f t="shared" ca="1" si="50"/>
        <v>12</v>
      </c>
      <c r="U333" s="21" t="str">
        <f t="shared" ca="1" si="51"/>
        <v>05</v>
      </c>
      <c r="V333" s="21" t="str">
        <f t="shared" ca="1" si="54"/>
        <v>20221205</v>
      </c>
    </row>
    <row r="334" spans="12:22" ht="16.350000000000001" customHeight="1" x14ac:dyDescent="0.2">
      <c r="L334" s="18" t="s">
        <v>2</v>
      </c>
      <c r="M334" s="19">
        <f t="shared" si="55"/>
        <v>1900</v>
      </c>
      <c r="N334" s="19" t="str">
        <f t="shared" si="56"/>
        <v>01</v>
      </c>
      <c r="O334" s="19" t="str">
        <f t="shared" si="57"/>
        <v>00</v>
      </c>
      <c r="P334" s="18" t="str">
        <f t="shared" si="52"/>
        <v>19000100</v>
      </c>
      <c r="Q334" s="20"/>
      <c r="R334" s="18" t="s">
        <v>27</v>
      </c>
      <c r="S334" s="18">
        <f t="shared" ca="1" si="53"/>
        <v>2022</v>
      </c>
      <c r="T334" s="21">
        <f t="shared" ca="1" si="50"/>
        <v>12</v>
      </c>
      <c r="U334" s="21" t="str">
        <f t="shared" ca="1" si="51"/>
        <v>05</v>
      </c>
      <c r="V334" s="21" t="str">
        <f t="shared" ca="1" si="54"/>
        <v>20221205</v>
      </c>
    </row>
    <row r="335" spans="12:22" ht="16.350000000000001" customHeight="1" x14ac:dyDescent="0.2">
      <c r="L335" s="18" t="s">
        <v>2</v>
      </c>
      <c r="M335" s="19">
        <f t="shared" si="55"/>
        <v>1900</v>
      </c>
      <c r="N335" s="19" t="str">
        <f t="shared" si="56"/>
        <v>01</v>
      </c>
      <c r="O335" s="19" t="str">
        <f t="shared" si="57"/>
        <v>00</v>
      </c>
      <c r="P335" s="18" t="str">
        <f t="shared" si="52"/>
        <v>19000100</v>
      </c>
      <c r="Q335" s="20"/>
      <c r="R335" s="18" t="s">
        <v>27</v>
      </c>
      <c r="S335" s="18">
        <f t="shared" ca="1" si="53"/>
        <v>2022</v>
      </c>
      <c r="T335" s="21">
        <f t="shared" ca="1" si="50"/>
        <v>12</v>
      </c>
      <c r="U335" s="21" t="str">
        <f t="shared" ca="1" si="51"/>
        <v>05</v>
      </c>
      <c r="V335" s="21" t="str">
        <f t="shared" ca="1" si="54"/>
        <v>20221205</v>
      </c>
    </row>
    <row r="336" spans="12:22" ht="16.350000000000001" customHeight="1" x14ac:dyDescent="0.2">
      <c r="L336" s="18" t="s">
        <v>2</v>
      </c>
      <c r="M336" s="19">
        <f t="shared" si="55"/>
        <v>1900</v>
      </c>
      <c r="N336" s="19" t="str">
        <f t="shared" si="56"/>
        <v>01</v>
      </c>
      <c r="O336" s="19" t="str">
        <f t="shared" si="57"/>
        <v>00</v>
      </c>
      <c r="P336" s="18" t="str">
        <f t="shared" si="52"/>
        <v>19000100</v>
      </c>
      <c r="Q336" s="20"/>
      <c r="R336" s="18" t="s">
        <v>27</v>
      </c>
      <c r="S336" s="18">
        <f t="shared" ca="1" si="53"/>
        <v>2022</v>
      </c>
      <c r="T336" s="21">
        <f t="shared" ca="1" si="50"/>
        <v>12</v>
      </c>
      <c r="U336" s="21" t="str">
        <f t="shared" ca="1" si="51"/>
        <v>05</v>
      </c>
      <c r="V336" s="21" t="str">
        <f t="shared" ca="1" si="54"/>
        <v>20221205</v>
      </c>
    </row>
    <row r="337" spans="12:22" ht="16.350000000000001" customHeight="1" x14ac:dyDescent="0.2">
      <c r="L337" s="18" t="s">
        <v>2</v>
      </c>
      <c r="M337" s="19">
        <f t="shared" si="55"/>
        <v>1900</v>
      </c>
      <c r="N337" s="19" t="str">
        <f t="shared" si="56"/>
        <v>01</v>
      </c>
      <c r="O337" s="19" t="str">
        <f t="shared" si="57"/>
        <v>00</v>
      </c>
      <c r="P337" s="18" t="str">
        <f t="shared" si="52"/>
        <v>19000100</v>
      </c>
      <c r="Q337" s="20"/>
      <c r="R337" s="18" t="s">
        <v>27</v>
      </c>
      <c r="S337" s="18">
        <f t="shared" ca="1" si="53"/>
        <v>2022</v>
      </c>
      <c r="T337" s="21">
        <f t="shared" ca="1" si="50"/>
        <v>12</v>
      </c>
      <c r="U337" s="21" t="str">
        <f t="shared" ca="1" si="51"/>
        <v>05</v>
      </c>
      <c r="V337" s="21" t="str">
        <f t="shared" ca="1" si="54"/>
        <v>20221205</v>
      </c>
    </row>
    <row r="338" spans="12:22" ht="16.350000000000001" customHeight="1" x14ac:dyDescent="0.2">
      <c r="L338" s="18" t="s">
        <v>2</v>
      </c>
      <c r="M338" s="19">
        <f t="shared" si="55"/>
        <v>1900</v>
      </c>
      <c r="N338" s="19" t="str">
        <f t="shared" si="56"/>
        <v>01</v>
      </c>
      <c r="O338" s="19" t="str">
        <f t="shared" si="57"/>
        <v>00</v>
      </c>
      <c r="P338" s="18" t="str">
        <f t="shared" si="52"/>
        <v>19000100</v>
      </c>
      <c r="Q338" s="20"/>
      <c r="R338" s="18" t="s">
        <v>27</v>
      </c>
      <c r="S338" s="18">
        <f t="shared" ca="1" si="53"/>
        <v>2022</v>
      </c>
      <c r="T338" s="21">
        <f t="shared" ca="1" si="50"/>
        <v>12</v>
      </c>
      <c r="U338" s="21" t="str">
        <f t="shared" ca="1" si="51"/>
        <v>05</v>
      </c>
      <c r="V338" s="21" t="str">
        <f t="shared" ca="1" si="54"/>
        <v>20221205</v>
      </c>
    </row>
    <row r="339" spans="12:22" ht="16.350000000000001" customHeight="1" x14ac:dyDescent="0.2">
      <c r="L339" s="18" t="s">
        <v>2</v>
      </c>
      <c r="M339" s="19">
        <f t="shared" si="55"/>
        <v>1900</v>
      </c>
      <c r="N339" s="19" t="str">
        <f t="shared" si="56"/>
        <v>01</v>
      </c>
      <c r="O339" s="19" t="str">
        <f t="shared" si="57"/>
        <v>00</v>
      </c>
      <c r="P339" s="18" t="str">
        <f t="shared" si="52"/>
        <v>19000100</v>
      </c>
      <c r="Q339" s="20"/>
      <c r="R339" s="18" t="s">
        <v>27</v>
      </c>
      <c r="S339" s="18">
        <f t="shared" ca="1" si="53"/>
        <v>2022</v>
      </c>
      <c r="T339" s="21">
        <f t="shared" ca="1" si="50"/>
        <v>12</v>
      </c>
      <c r="U339" s="21" t="str">
        <f t="shared" ca="1" si="51"/>
        <v>05</v>
      </c>
      <c r="V339" s="21" t="str">
        <f t="shared" ca="1" si="54"/>
        <v>20221205</v>
      </c>
    </row>
    <row r="340" spans="12:22" ht="16.350000000000001" customHeight="1" x14ac:dyDescent="0.2">
      <c r="L340" s="18" t="s">
        <v>2</v>
      </c>
      <c r="M340" s="19">
        <f t="shared" si="55"/>
        <v>1900</v>
      </c>
      <c r="N340" s="19" t="str">
        <f t="shared" si="56"/>
        <v>01</v>
      </c>
      <c r="O340" s="19" t="str">
        <f t="shared" si="57"/>
        <v>00</v>
      </c>
      <c r="P340" s="18" t="str">
        <f t="shared" si="52"/>
        <v>19000100</v>
      </c>
      <c r="Q340" s="20"/>
      <c r="R340" s="18" t="s">
        <v>27</v>
      </c>
      <c r="S340" s="18">
        <f t="shared" ca="1" si="53"/>
        <v>2022</v>
      </c>
      <c r="T340" s="21">
        <f t="shared" ca="1" si="50"/>
        <v>12</v>
      </c>
      <c r="U340" s="21" t="str">
        <f t="shared" ca="1" si="51"/>
        <v>05</v>
      </c>
      <c r="V340" s="21" t="str">
        <f t="shared" ca="1" si="54"/>
        <v>20221205</v>
      </c>
    </row>
    <row r="341" spans="12:22" ht="16.350000000000001" customHeight="1" x14ac:dyDescent="0.2">
      <c r="L341" s="18" t="s">
        <v>2</v>
      </c>
      <c r="M341" s="19">
        <f t="shared" si="55"/>
        <v>1900</v>
      </c>
      <c r="N341" s="19" t="str">
        <f t="shared" si="56"/>
        <v>01</v>
      </c>
      <c r="O341" s="19" t="str">
        <f t="shared" si="57"/>
        <v>00</v>
      </c>
      <c r="P341" s="18" t="str">
        <f t="shared" si="52"/>
        <v>19000100</v>
      </c>
      <c r="Q341" s="20"/>
      <c r="R341" s="18" t="s">
        <v>27</v>
      </c>
      <c r="S341" s="18">
        <f t="shared" ca="1" si="53"/>
        <v>2022</v>
      </c>
      <c r="T341" s="21">
        <f t="shared" ca="1" si="50"/>
        <v>12</v>
      </c>
      <c r="U341" s="21" t="str">
        <f t="shared" ca="1" si="51"/>
        <v>05</v>
      </c>
      <c r="V341" s="21" t="str">
        <f t="shared" ca="1" si="54"/>
        <v>20221205</v>
      </c>
    </row>
    <row r="342" spans="12:22" ht="16.350000000000001" customHeight="1" x14ac:dyDescent="0.2">
      <c r="L342" s="18" t="s">
        <v>2</v>
      </c>
      <c r="M342" s="19">
        <f t="shared" si="55"/>
        <v>1900</v>
      </c>
      <c r="N342" s="19" t="str">
        <f t="shared" si="56"/>
        <v>01</v>
      </c>
      <c r="O342" s="19" t="str">
        <f t="shared" si="57"/>
        <v>00</v>
      </c>
      <c r="P342" s="18" t="str">
        <f t="shared" si="52"/>
        <v>19000100</v>
      </c>
      <c r="Q342" s="20"/>
      <c r="R342" s="18" t="s">
        <v>27</v>
      </c>
      <c r="S342" s="18">
        <f t="shared" ca="1" si="53"/>
        <v>2022</v>
      </c>
      <c r="T342" s="21">
        <f t="shared" ca="1" si="50"/>
        <v>12</v>
      </c>
      <c r="U342" s="21" t="str">
        <f t="shared" ca="1" si="51"/>
        <v>05</v>
      </c>
      <c r="V342" s="21" t="str">
        <f t="shared" ca="1" si="54"/>
        <v>20221205</v>
      </c>
    </row>
    <row r="343" spans="12:22" ht="16.350000000000001" customHeight="1" x14ac:dyDescent="0.2">
      <c r="L343" s="18" t="s">
        <v>2</v>
      </c>
      <c r="M343" s="19">
        <f t="shared" si="55"/>
        <v>1900</v>
      </c>
      <c r="N343" s="19" t="str">
        <f t="shared" si="56"/>
        <v>01</v>
      </c>
      <c r="O343" s="19" t="str">
        <f t="shared" si="57"/>
        <v>00</v>
      </c>
      <c r="P343" s="18" t="str">
        <f t="shared" si="52"/>
        <v>19000100</v>
      </c>
      <c r="Q343" s="20"/>
      <c r="R343" s="18" t="s">
        <v>27</v>
      </c>
      <c r="S343" s="18">
        <f t="shared" ca="1" si="53"/>
        <v>2022</v>
      </c>
      <c r="T343" s="21">
        <f t="shared" ca="1" si="50"/>
        <v>12</v>
      </c>
      <c r="U343" s="21" t="str">
        <f t="shared" ca="1" si="51"/>
        <v>05</v>
      </c>
      <c r="V343" s="21" t="str">
        <f t="shared" ca="1" si="54"/>
        <v>20221205</v>
      </c>
    </row>
    <row r="344" spans="12:22" ht="16.350000000000001" customHeight="1" x14ac:dyDescent="0.2">
      <c r="L344" s="18" t="s">
        <v>2</v>
      </c>
      <c r="M344" s="19">
        <f t="shared" si="55"/>
        <v>1900</v>
      </c>
      <c r="N344" s="19" t="str">
        <f t="shared" si="56"/>
        <v>01</v>
      </c>
      <c r="O344" s="19" t="str">
        <f t="shared" si="57"/>
        <v>00</v>
      </c>
      <c r="P344" s="18" t="str">
        <f t="shared" si="52"/>
        <v>19000100</v>
      </c>
      <c r="Q344" s="20"/>
      <c r="R344" s="18" t="s">
        <v>27</v>
      </c>
      <c r="S344" s="18">
        <f t="shared" ca="1" si="53"/>
        <v>2022</v>
      </c>
      <c r="T344" s="21">
        <f t="shared" ca="1" si="50"/>
        <v>12</v>
      </c>
      <c r="U344" s="21" t="str">
        <f t="shared" ca="1" si="51"/>
        <v>05</v>
      </c>
      <c r="V344" s="21" t="str">
        <f t="shared" ca="1" si="54"/>
        <v>20221205</v>
      </c>
    </row>
    <row r="345" spans="12:22" ht="16.350000000000001" customHeight="1" x14ac:dyDescent="0.2">
      <c r="L345" s="18" t="s">
        <v>2</v>
      </c>
      <c r="M345" s="19">
        <f t="shared" si="55"/>
        <v>1900</v>
      </c>
      <c r="N345" s="19" t="str">
        <f t="shared" si="56"/>
        <v>01</v>
      </c>
      <c r="O345" s="19" t="str">
        <f t="shared" si="57"/>
        <v>00</v>
      </c>
      <c r="P345" s="18" t="str">
        <f t="shared" si="52"/>
        <v>19000100</v>
      </c>
      <c r="Q345" s="20"/>
      <c r="R345" s="18" t="s">
        <v>27</v>
      </c>
      <c r="S345" s="18">
        <f t="shared" ca="1" si="53"/>
        <v>2022</v>
      </c>
      <c r="T345" s="21">
        <f t="shared" ca="1" si="50"/>
        <v>12</v>
      </c>
      <c r="U345" s="21" t="str">
        <f t="shared" ca="1" si="51"/>
        <v>05</v>
      </c>
      <c r="V345" s="21" t="str">
        <f t="shared" ca="1" si="54"/>
        <v>20221205</v>
      </c>
    </row>
    <row r="346" spans="12:22" ht="16.350000000000001" customHeight="1" x14ac:dyDescent="0.2">
      <c r="L346" s="18" t="s">
        <v>2</v>
      </c>
      <c r="M346" s="19">
        <f t="shared" si="55"/>
        <v>1900</v>
      </c>
      <c r="N346" s="19" t="str">
        <f t="shared" si="56"/>
        <v>01</v>
      </c>
      <c r="O346" s="19" t="str">
        <f t="shared" si="57"/>
        <v>00</v>
      </c>
      <c r="P346" s="18" t="str">
        <f t="shared" si="52"/>
        <v>19000100</v>
      </c>
      <c r="Q346" s="20"/>
      <c r="R346" s="18" t="s">
        <v>27</v>
      </c>
      <c r="S346" s="18">
        <f t="shared" ca="1" si="53"/>
        <v>2022</v>
      </c>
      <c r="T346" s="21">
        <f t="shared" ca="1" si="50"/>
        <v>12</v>
      </c>
      <c r="U346" s="21" t="str">
        <f t="shared" ca="1" si="51"/>
        <v>05</v>
      </c>
      <c r="V346" s="21" t="str">
        <f t="shared" ca="1" si="54"/>
        <v>20221205</v>
      </c>
    </row>
    <row r="347" spans="12:22" ht="16.350000000000001" customHeight="1" x14ac:dyDescent="0.2">
      <c r="L347" s="18" t="s">
        <v>2</v>
      </c>
      <c r="M347" s="19">
        <f t="shared" si="55"/>
        <v>1900</v>
      </c>
      <c r="N347" s="19" t="str">
        <f t="shared" si="56"/>
        <v>01</v>
      </c>
      <c r="O347" s="19" t="str">
        <f t="shared" si="57"/>
        <v>00</v>
      </c>
      <c r="P347" s="18" t="str">
        <f t="shared" si="52"/>
        <v>19000100</v>
      </c>
      <c r="Q347" s="20"/>
      <c r="R347" s="18" t="s">
        <v>27</v>
      </c>
      <c r="S347" s="18">
        <f t="shared" ca="1" si="53"/>
        <v>2022</v>
      </c>
      <c r="T347" s="21">
        <f t="shared" ca="1" si="50"/>
        <v>12</v>
      </c>
      <c r="U347" s="21" t="str">
        <f t="shared" ca="1" si="51"/>
        <v>05</v>
      </c>
      <c r="V347" s="21" t="str">
        <f t="shared" ca="1" si="54"/>
        <v>20221205</v>
      </c>
    </row>
    <row r="348" spans="12:22" ht="16.350000000000001" customHeight="1" x14ac:dyDescent="0.2">
      <c r="L348" s="18" t="s">
        <v>2</v>
      </c>
      <c r="M348" s="19">
        <f t="shared" si="55"/>
        <v>1900</v>
      </c>
      <c r="N348" s="19" t="str">
        <f t="shared" si="56"/>
        <v>01</v>
      </c>
      <c r="O348" s="19" t="str">
        <f t="shared" si="57"/>
        <v>00</v>
      </c>
      <c r="P348" s="18" t="str">
        <f t="shared" si="52"/>
        <v>19000100</v>
      </c>
      <c r="Q348" s="20"/>
      <c r="R348" s="18" t="s">
        <v>27</v>
      </c>
      <c r="S348" s="18">
        <f t="shared" ca="1" si="53"/>
        <v>2022</v>
      </c>
      <c r="T348" s="21">
        <f t="shared" ca="1" si="50"/>
        <v>12</v>
      </c>
      <c r="U348" s="21" t="str">
        <f t="shared" ca="1" si="51"/>
        <v>05</v>
      </c>
      <c r="V348" s="21" t="str">
        <f t="shared" ca="1" si="54"/>
        <v>20221205</v>
      </c>
    </row>
    <row r="349" spans="12:22" ht="16.350000000000001" customHeight="1" x14ac:dyDescent="0.2">
      <c r="L349" s="18" t="s">
        <v>2</v>
      </c>
      <c r="M349" s="19">
        <f t="shared" si="55"/>
        <v>1900</v>
      </c>
      <c r="N349" s="19" t="str">
        <f t="shared" si="56"/>
        <v>01</v>
      </c>
      <c r="O349" s="19" t="str">
        <f t="shared" si="57"/>
        <v>00</v>
      </c>
      <c r="P349" s="18" t="str">
        <f t="shared" si="52"/>
        <v>19000100</v>
      </c>
      <c r="Q349" s="20"/>
      <c r="R349" s="18" t="s">
        <v>27</v>
      </c>
      <c r="S349" s="18">
        <f t="shared" ca="1" si="53"/>
        <v>2022</v>
      </c>
      <c r="T349" s="21">
        <f t="shared" ca="1" si="50"/>
        <v>12</v>
      </c>
      <c r="U349" s="21" t="str">
        <f t="shared" ca="1" si="51"/>
        <v>05</v>
      </c>
      <c r="V349" s="21" t="str">
        <f t="shared" ca="1" si="54"/>
        <v>20221205</v>
      </c>
    </row>
    <row r="350" spans="12:22" ht="16.350000000000001" customHeight="1" x14ac:dyDescent="0.2">
      <c r="L350" s="18" t="s">
        <v>2</v>
      </c>
      <c r="M350" s="19">
        <f t="shared" si="55"/>
        <v>1900</v>
      </c>
      <c r="N350" s="19" t="str">
        <f t="shared" si="56"/>
        <v>01</v>
      </c>
      <c r="O350" s="19" t="str">
        <f t="shared" si="57"/>
        <v>00</v>
      </c>
      <c r="P350" s="18" t="str">
        <f t="shared" si="52"/>
        <v>19000100</v>
      </c>
      <c r="Q350" s="20"/>
      <c r="R350" s="18" t="s">
        <v>27</v>
      </c>
      <c r="S350" s="18">
        <f t="shared" ca="1" si="53"/>
        <v>2022</v>
      </c>
      <c r="T350" s="21">
        <f t="shared" ca="1" si="50"/>
        <v>12</v>
      </c>
      <c r="U350" s="21" t="str">
        <f t="shared" ca="1" si="51"/>
        <v>05</v>
      </c>
      <c r="V350" s="21" t="str">
        <f t="shared" ca="1" si="54"/>
        <v>20221205</v>
      </c>
    </row>
    <row r="351" spans="12:22" ht="16.350000000000001" customHeight="1" x14ac:dyDescent="0.2">
      <c r="L351" s="18" t="s">
        <v>2</v>
      </c>
      <c r="M351" s="19">
        <f t="shared" si="55"/>
        <v>1900</v>
      </c>
      <c r="N351" s="19" t="str">
        <f t="shared" si="56"/>
        <v>01</v>
      </c>
      <c r="O351" s="19" t="str">
        <f t="shared" si="57"/>
        <v>00</v>
      </c>
      <c r="P351" s="18" t="str">
        <f t="shared" si="52"/>
        <v>19000100</v>
      </c>
      <c r="Q351" s="20"/>
      <c r="R351" s="18" t="s">
        <v>27</v>
      </c>
      <c r="S351" s="18">
        <f t="shared" ca="1" si="53"/>
        <v>2022</v>
      </c>
      <c r="T351" s="21">
        <f t="shared" ca="1" si="50"/>
        <v>12</v>
      </c>
      <c r="U351" s="21" t="str">
        <f t="shared" ca="1" si="51"/>
        <v>05</v>
      </c>
      <c r="V351" s="21" t="str">
        <f t="shared" ca="1" si="54"/>
        <v>20221205</v>
      </c>
    </row>
    <row r="352" spans="12:22" ht="16.350000000000001" customHeight="1" x14ac:dyDescent="0.2">
      <c r="L352" s="18" t="s">
        <v>2</v>
      </c>
      <c r="M352" s="19">
        <f t="shared" si="55"/>
        <v>1900</v>
      </c>
      <c r="N352" s="19" t="str">
        <f t="shared" si="56"/>
        <v>01</v>
      </c>
      <c r="O352" s="19" t="str">
        <f t="shared" si="57"/>
        <v>00</v>
      </c>
      <c r="P352" s="18" t="str">
        <f t="shared" si="52"/>
        <v>19000100</v>
      </c>
      <c r="Q352" s="20"/>
      <c r="R352" s="18" t="s">
        <v>27</v>
      </c>
      <c r="S352" s="18">
        <f t="shared" ca="1" si="53"/>
        <v>2022</v>
      </c>
      <c r="T352" s="21">
        <f t="shared" ca="1" si="50"/>
        <v>12</v>
      </c>
      <c r="U352" s="21" t="str">
        <f t="shared" ca="1" si="51"/>
        <v>05</v>
      </c>
      <c r="V352" s="21" t="str">
        <f t="shared" ca="1" si="54"/>
        <v>20221205</v>
      </c>
    </row>
    <row r="353" spans="12:22" ht="16.350000000000001" customHeight="1" x14ac:dyDescent="0.2">
      <c r="L353" s="18" t="s">
        <v>2</v>
      </c>
      <c r="M353" s="19">
        <f t="shared" si="55"/>
        <v>1900</v>
      </c>
      <c r="N353" s="19" t="str">
        <f t="shared" si="56"/>
        <v>01</v>
      </c>
      <c r="O353" s="19" t="str">
        <f t="shared" si="57"/>
        <v>00</v>
      </c>
      <c r="P353" s="18" t="str">
        <f t="shared" si="52"/>
        <v>19000100</v>
      </c>
      <c r="Q353" s="20"/>
      <c r="R353" s="18" t="s">
        <v>27</v>
      </c>
      <c r="S353" s="18">
        <f t="shared" ca="1" si="53"/>
        <v>2022</v>
      </c>
      <c r="T353" s="21">
        <f t="shared" ca="1" si="50"/>
        <v>12</v>
      </c>
      <c r="U353" s="21" t="str">
        <f t="shared" ca="1" si="51"/>
        <v>05</v>
      </c>
      <c r="V353" s="21" t="str">
        <f t="shared" ca="1" si="54"/>
        <v>20221205</v>
      </c>
    </row>
    <row r="354" spans="12:22" ht="16.350000000000001" customHeight="1" x14ac:dyDescent="0.2">
      <c r="L354" s="18" t="s">
        <v>2</v>
      </c>
      <c r="M354" s="19">
        <f t="shared" si="55"/>
        <v>1900</v>
      </c>
      <c r="N354" s="19" t="str">
        <f t="shared" si="56"/>
        <v>01</v>
      </c>
      <c r="O354" s="19" t="str">
        <f t="shared" si="57"/>
        <v>00</v>
      </c>
      <c r="P354" s="18" t="str">
        <f t="shared" si="52"/>
        <v>19000100</v>
      </c>
      <c r="Q354" s="20"/>
      <c r="R354" s="18" t="s">
        <v>27</v>
      </c>
      <c r="S354" s="18">
        <f t="shared" ca="1" si="53"/>
        <v>2022</v>
      </c>
      <c r="T354" s="21">
        <f t="shared" ca="1" si="50"/>
        <v>12</v>
      </c>
      <c r="U354" s="21" t="str">
        <f t="shared" ca="1" si="51"/>
        <v>05</v>
      </c>
      <c r="V354" s="21" t="str">
        <f t="shared" ca="1" si="54"/>
        <v>20221205</v>
      </c>
    </row>
    <row r="355" spans="12:22" ht="16.350000000000001" customHeight="1" x14ac:dyDescent="0.2">
      <c r="L355" s="18" t="s">
        <v>2</v>
      </c>
      <c r="M355" s="19">
        <f t="shared" si="55"/>
        <v>1900</v>
      </c>
      <c r="N355" s="19" t="str">
        <f t="shared" si="56"/>
        <v>01</v>
      </c>
      <c r="O355" s="19" t="str">
        <f t="shared" si="57"/>
        <v>00</v>
      </c>
      <c r="P355" s="18" t="str">
        <f t="shared" si="52"/>
        <v>19000100</v>
      </c>
      <c r="Q355" s="20"/>
      <c r="R355" s="18" t="s">
        <v>27</v>
      </c>
      <c r="S355" s="18">
        <f t="shared" ca="1" si="53"/>
        <v>2022</v>
      </c>
      <c r="T355" s="21">
        <f t="shared" ref="T355:T368" ca="1" si="58">IF(MONTH(TODAY())&lt;10,CONCATENATE(0,MONTH(TODAY())),MONTH(TODAY()))</f>
        <v>12</v>
      </c>
      <c r="U355" s="21" t="str">
        <f t="shared" ref="U355:U368" ca="1" si="59">IF(DAY(TODAY())&lt;10,CONCATENATE(0,DAY(TODAY())),DAY(TODAY()))</f>
        <v>05</v>
      </c>
      <c r="V355" s="21" t="str">
        <f t="shared" ca="1" si="54"/>
        <v>20221205</v>
      </c>
    </row>
    <row r="356" spans="12:22" ht="16.350000000000001" customHeight="1" x14ac:dyDescent="0.2">
      <c r="L356" s="18" t="s">
        <v>2</v>
      </c>
      <c r="M356" s="19">
        <f t="shared" si="55"/>
        <v>1900</v>
      </c>
      <c r="N356" s="19" t="str">
        <f t="shared" si="56"/>
        <v>01</v>
      </c>
      <c r="O356" s="19" t="str">
        <f t="shared" si="57"/>
        <v>00</v>
      </c>
      <c r="P356" s="18" t="str">
        <f t="shared" si="52"/>
        <v>19000100</v>
      </c>
      <c r="Q356" s="20"/>
      <c r="R356" s="18" t="s">
        <v>27</v>
      </c>
      <c r="S356" s="18">
        <f t="shared" ca="1" si="53"/>
        <v>2022</v>
      </c>
      <c r="T356" s="21">
        <f t="shared" ca="1" si="58"/>
        <v>12</v>
      </c>
      <c r="U356" s="21" t="str">
        <f t="shared" ca="1" si="59"/>
        <v>05</v>
      </c>
      <c r="V356" s="21" t="str">
        <f t="shared" ca="1" si="54"/>
        <v>20221205</v>
      </c>
    </row>
    <row r="357" spans="12:22" ht="16.350000000000001" customHeight="1" x14ac:dyDescent="0.2">
      <c r="L357" s="18" t="s">
        <v>2</v>
      </c>
      <c r="M357" s="19">
        <f t="shared" si="55"/>
        <v>1900</v>
      </c>
      <c r="N357" s="19" t="str">
        <f t="shared" si="56"/>
        <v>01</v>
      </c>
      <c r="O357" s="19" t="str">
        <f t="shared" si="57"/>
        <v>00</v>
      </c>
      <c r="P357" s="18" t="str">
        <f t="shared" ref="P357:P368" si="60">CONCATENATE(M357,N357,O357)</f>
        <v>19000100</v>
      </c>
      <c r="Q357" s="20"/>
      <c r="R357" s="18" t="s">
        <v>27</v>
      </c>
      <c r="S357" s="18">
        <f t="shared" ref="S357:S368" ca="1" si="61">YEAR(TODAY())</f>
        <v>2022</v>
      </c>
      <c r="T357" s="21">
        <f t="shared" ca="1" si="58"/>
        <v>12</v>
      </c>
      <c r="U357" s="21" t="str">
        <f t="shared" ca="1" si="59"/>
        <v>05</v>
      </c>
      <c r="V357" s="21" t="str">
        <f t="shared" ref="V357:V368" ca="1" si="62">CONCATENATE(S357,T357,U357)</f>
        <v>20221205</v>
      </c>
    </row>
    <row r="358" spans="12:22" ht="16.350000000000001" customHeight="1" x14ac:dyDescent="0.2">
      <c r="L358" s="18" t="s">
        <v>2</v>
      </c>
      <c r="M358" s="19">
        <f t="shared" si="55"/>
        <v>1900</v>
      </c>
      <c r="N358" s="19" t="str">
        <f t="shared" si="56"/>
        <v>01</v>
      </c>
      <c r="O358" s="19" t="str">
        <f t="shared" si="57"/>
        <v>00</v>
      </c>
      <c r="P358" s="18" t="str">
        <f t="shared" si="60"/>
        <v>19000100</v>
      </c>
      <c r="Q358" s="20"/>
      <c r="R358" s="18" t="s">
        <v>27</v>
      </c>
      <c r="S358" s="18">
        <f t="shared" ca="1" si="61"/>
        <v>2022</v>
      </c>
      <c r="T358" s="21">
        <f t="shared" ca="1" si="58"/>
        <v>12</v>
      </c>
      <c r="U358" s="21" t="str">
        <f t="shared" ca="1" si="59"/>
        <v>05</v>
      </c>
      <c r="V358" s="21" t="str">
        <f t="shared" ca="1" si="62"/>
        <v>20221205</v>
      </c>
    </row>
    <row r="359" spans="12:22" ht="16.350000000000001" customHeight="1" x14ac:dyDescent="0.2">
      <c r="L359" s="18" t="s">
        <v>2</v>
      </c>
      <c r="M359" s="19">
        <f t="shared" si="55"/>
        <v>1900</v>
      </c>
      <c r="N359" s="19" t="str">
        <f t="shared" si="56"/>
        <v>01</v>
      </c>
      <c r="O359" s="19" t="str">
        <f t="shared" si="57"/>
        <v>00</v>
      </c>
      <c r="P359" s="18" t="str">
        <f t="shared" si="60"/>
        <v>19000100</v>
      </c>
      <c r="Q359" s="20"/>
      <c r="R359" s="18" t="s">
        <v>27</v>
      </c>
      <c r="S359" s="18">
        <f t="shared" ca="1" si="61"/>
        <v>2022</v>
      </c>
      <c r="T359" s="21">
        <f t="shared" ca="1" si="58"/>
        <v>12</v>
      </c>
      <c r="U359" s="21" t="str">
        <f t="shared" ca="1" si="59"/>
        <v>05</v>
      </c>
      <c r="V359" s="21" t="str">
        <f t="shared" ca="1" si="62"/>
        <v>20221205</v>
      </c>
    </row>
    <row r="360" spans="12:22" ht="16.350000000000001" customHeight="1" x14ac:dyDescent="0.2">
      <c r="L360" s="18" t="s">
        <v>2</v>
      </c>
      <c r="M360" s="19">
        <f t="shared" si="55"/>
        <v>1900</v>
      </c>
      <c r="N360" s="19" t="str">
        <f t="shared" si="56"/>
        <v>01</v>
      </c>
      <c r="O360" s="19" t="str">
        <f t="shared" si="57"/>
        <v>00</v>
      </c>
      <c r="P360" s="18" t="str">
        <f t="shared" si="60"/>
        <v>19000100</v>
      </c>
      <c r="Q360" s="20"/>
      <c r="R360" s="18" t="s">
        <v>27</v>
      </c>
      <c r="S360" s="18">
        <f t="shared" ca="1" si="61"/>
        <v>2022</v>
      </c>
      <c r="T360" s="21">
        <f t="shared" ca="1" si="58"/>
        <v>12</v>
      </c>
      <c r="U360" s="21" t="str">
        <f t="shared" ca="1" si="59"/>
        <v>05</v>
      </c>
      <c r="V360" s="21" t="str">
        <f t="shared" ca="1" si="62"/>
        <v>20221205</v>
      </c>
    </row>
    <row r="361" spans="12:22" ht="16.350000000000001" customHeight="1" x14ac:dyDescent="0.2">
      <c r="L361" s="18" t="s">
        <v>2</v>
      </c>
      <c r="M361" s="19">
        <f t="shared" si="55"/>
        <v>1900</v>
      </c>
      <c r="N361" s="19" t="str">
        <f t="shared" si="56"/>
        <v>01</v>
      </c>
      <c r="O361" s="19" t="str">
        <f t="shared" si="57"/>
        <v>00</v>
      </c>
      <c r="P361" s="18" t="str">
        <f t="shared" si="60"/>
        <v>19000100</v>
      </c>
      <c r="Q361" s="20"/>
      <c r="R361" s="18" t="s">
        <v>27</v>
      </c>
      <c r="S361" s="18">
        <f t="shared" ca="1" si="61"/>
        <v>2022</v>
      </c>
      <c r="T361" s="21">
        <f t="shared" ca="1" si="58"/>
        <v>12</v>
      </c>
      <c r="U361" s="21" t="str">
        <f t="shared" ca="1" si="59"/>
        <v>05</v>
      </c>
      <c r="V361" s="21" t="str">
        <f t="shared" ca="1" si="62"/>
        <v>20221205</v>
      </c>
    </row>
    <row r="362" spans="12:22" ht="16.350000000000001" customHeight="1" x14ac:dyDescent="0.2">
      <c r="L362" s="18" t="s">
        <v>2</v>
      </c>
      <c r="M362" s="19">
        <f t="shared" si="55"/>
        <v>1900</v>
      </c>
      <c r="N362" s="19" t="str">
        <f t="shared" si="56"/>
        <v>01</v>
      </c>
      <c r="O362" s="19" t="str">
        <f t="shared" si="57"/>
        <v>00</v>
      </c>
      <c r="P362" s="18" t="str">
        <f t="shared" si="60"/>
        <v>19000100</v>
      </c>
      <c r="Q362" s="20"/>
      <c r="R362" s="18" t="s">
        <v>27</v>
      </c>
      <c r="S362" s="18">
        <f t="shared" ca="1" si="61"/>
        <v>2022</v>
      </c>
      <c r="T362" s="21">
        <f t="shared" ca="1" si="58"/>
        <v>12</v>
      </c>
      <c r="U362" s="21" t="str">
        <f t="shared" ca="1" si="59"/>
        <v>05</v>
      </c>
      <c r="V362" s="21" t="str">
        <f t="shared" ca="1" si="62"/>
        <v>20221205</v>
      </c>
    </row>
    <row r="363" spans="12:22" ht="16.350000000000001" customHeight="1" x14ac:dyDescent="0.2">
      <c r="L363" s="18" t="s">
        <v>2</v>
      </c>
      <c r="M363" s="19">
        <f t="shared" si="55"/>
        <v>1900</v>
      </c>
      <c r="N363" s="19" t="str">
        <f t="shared" si="56"/>
        <v>01</v>
      </c>
      <c r="O363" s="19" t="str">
        <f t="shared" si="57"/>
        <v>00</v>
      </c>
      <c r="P363" s="18" t="str">
        <f t="shared" si="60"/>
        <v>19000100</v>
      </c>
      <c r="Q363" s="20"/>
      <c r="R363" s="18" t="s">
        <v>27</v>
      </c>
      <c r="S363" s="18">
        <f t="shared" ca="1" si="61"/>
        <v>2022</v>
      </c>
      <c r="T363" s="21">
        <f t="shared" ca="1" si="58"/>
        <v>12</v>
      </c>
      <c r="U363" s="21" t="str">
        <f t="shared" ca="1" si="59"/>
        <v>05</v>
      </c>
      <c r="V363" s="21" t="str">
        <f t="shared" ca="1" si="62"/>
        <v>20221205</v>
      </c>
    </row>
    <row r="364" spans="12:22" ht="16.350000000000001" customHeight="1" x14ac:dyDescent="0.2">
      <c r="L364" s="18" t="s">
        <v>2</v>
      </c>
      <c r="M364" s="19">
        <f t="shared" si="55"/>
        <v>1900</v>
      </c>
      <c r="N364" s="19" t="str">
        <f t="shared" si="56"/>
        <v>01</v>
      </c>
      <c r="O364" s="19" t="str">
        <f t="shared" si="57"/>
        <v>00</v>
      </c>
      <c r="P364" s="18" t="str">
        <f t="shared" si="60"/>
        <v>19000100</v>
      </c>
      <c r="Q364" s="20"/>
      <c r="R364" s="18" t="s">
        <v>27</v>
      </c>
      <c r="S364" s="18">
        <f t="shared" ca="1" si="61"/>
        <v>2022</v>
      </c>
      <c r="T364" s="21">
        <f t="shared" ca="1" si="58"/>
        <v>12</v>
      </c>
      <c r="U364" s="21" t="str">
        <f t="shared" ca="1" si="59"/>
        <v>05</v>
      </c>
      <c r="V364" s="21" t="str">
        <f t="shared" ca="1" si="62"/>
        <v>20221205</v>
      </c>
    </row>
    <row r="365" spans="12:22" ht="16.350000000000001" customHeight="1" x14ac:dyDescent="0.2">
      <c r="L365" s="18" t="s">
        <v>2</v>
      </c>
      <c r="M365" s="19">
        <f t="shared" si="55"/>
        <v>1900</v>
      </c>
      <c r="N365" s="19" t="str">
        <f t="shared" si="56"/>
        <v>01</v>
      </c>
      <c r="O365" s="19" t="str">
        <f t="shared" si="57"/>
        <v>00</v>
      </c>
      <c r="P365" s="18" t="str">
        <f t="shared" si="60"/>
        <v>19000100</v>
      </c>
      <c r="Q365" s="20"/>
      <c r="R365" s="18" t="s">
        <v>27</v>
      </c>
      <c r="S365" s="18">
        <f t="shared" ca="1" si="61"/>
        <v>2022</v>
      </c>
      <c r="T365" s="21">
        <f t="shared" ca="1" si="58"/>
        <v>12</v>
      </c>
      <c r="U365" s="21" t="str">
        <f t="shared" ca="1" si="59"/>
        <v>05</v>
      </c>
      <c r="V365" s="21" t="str">
        <f t="shared" ca="1" si="62"/>
        <v>20221205</v>
      </c>
    </row>
    <row r="366" spans="12:22" ht="16.350000000000001" customHeight="1" x14ac:dyDescent="0.2">
      <c r="L366" s="18" t="s">
        <v>2</v>
      </c>
      <c r="M366" s="19">
        <f t="shared" si="55"/>
        <v>1900</v>
      </c>
      <c r="N366" s="19" t="str">
        <f t="shared" si="56"/>
        <v>01</v>
      </c>
      <c r="O366" s="19" t="str">
        <f t="shared" si="57"/>
        <v>00</v>
      </c>
      <c r="P366" s="18" t="str">
        <f t="shared" si="60"/>
        <v>19000100</v>
      </c>
      <c r="Q366" s="20"/>
      <c r="R366" s="18" t="s">
        <v>27</v>
      </c>
      <c r="S366" s="18">
        <f t="shared" ca="1" si="61"/>
        <v>2022</v>
      </c>
      <c r="T366" s="21">
        <f t="shared" ca="1" si="58"/>
        <v>12</v>
      </c>
      <c r="U366" s="21" t="str">
        <f t="shared" ca="1" si="59"/>
        <v>05</v>
      </c>
      <c r="V366" s="21" t="str">
        <f t="shared" ca="1" si="62"/>
        <v>20221205</v>
      </c>
    </row>
    <row r="367" spans="12:22" ht="16.350000000000001" customHeight="1" x14ac:dyDescent="0.2">
      <c r="L367" s="18" t="s">
        <v>2</v>
      </c>
      <c r="M367" s="19">
        <f t="shared" si="55"/>
        <v>1900</v>
      </c>
      <c r="N367" s="19" t="str">
        <f t="shared" si="56"/>
        <v>01</v>
      </c>
      <c r="O367" s="19" t="str">
        <f t="shared" si="57"/>
        <v>00</v>
      </c>
      <c r="P367" s="18" t="str">
        <f t="shared" si="60"/>
        <v>19000100</v>
      </c>
      <c r="Q367" s="20"/>
      <c r="R367" s="18" t="s">
        <v>27</v>
      </c>
      <c r="S367" s="18">
        <f t="shared" ca="1" si="61"/>
        <v>2022</v>
      </c>
      <c r="T367" s="21">
        <f t="shared" ca="1" si="58"/>
        <v>12</v>
      </c>
      <c r="U367" s="21" t="str">
        <f t="shared" ca="1" si="59"/>
        <v>05</v>
      </c>
      <c r="V367" s="21" t="str">
        <f t="shared" ca="1" si="62"/>
        <v>20221205</v>
      </c>
    </row>
    <row r="368" spans="12:22" ht="16.350000000000001" customHeight="1" x14ac:dyDescent="0.2">
      <c r="L368" s="18" t="s">
        <v>2</v>
      </c>
      <c r="M368" s="19">
        <f t="shared" si="55"/>
        <v>1900</v>
      </c>
      <c r="N368" s="19" t="str">
        <f t="shared" si="56"/>
        <v>01</v>
      </c>
      <c r="O368" s="19" t="str">
        <f t="shared" si="57"/>
        <v>00</v>
      </c>
      <c r="P368" s="18" t="str">
        <f t="shared" si="60"/>
        <v>19000100</v>
      </c>
      <c r="Q368" s="20"/>
      <c r="R368" s="18" t="s">
        <v>27</v>
      </c>
      <c r="S368" s="18">
        <f t="shared" ca="1" si="61"/>
        <v>2022</v>
      </c>
      <c r="T368" s="21">
        <f t="shared" ca="1" si="58"/>
        <v>12</v>
      </c>
      <c r="U368" s="21" t="str">
        <f t="shared" ca="1" si="59"/>
        <v>05</v>
      </c>
      <c r="V368" s="21" t="str">
        <f t="shared" ca="1" si="62"/>
        <v>20221205</v>
      </c>
    </row>
  </sheetData>
  <sheetProtection selectLockedCells="1" sort="0" autoFilter="0" pivotTables="0" selectUnlockedCells="1"/>
  <protectedRanges>
    <protectedRange sqref="A3:J9931" name="Range1"/>
  </protectedRanges>
  <autoFilter ref="Z2:AJ247" xr:uid="{00000000-0009-0000-0000-000001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3" priority="788" stopIfTrue="1">
      <formula>P3&lt;V3</formula>
    </cfRule>
    <cfRule type="expression" dxfId="532" priority="789" stopIfTrue="1">
      <formula>P3&gt;V3</formula>
    </cfRule>
  </conditionalFormatting>
  <conditionalFormatting sqref="G4">
    <cfRule type="expression" dxfId="531" priority="784" stopIfTrue="1">
      <formula>P4&lt;V4</formula>
    </cfRule>
    <cfRule type="expression" dxfId="530" priority="785" stopIfTrue="1">
      <formula>P4&gt;V4</formula>
    </cfRule>
  </conditionalFormatting>
  <conditionalFormatting sqref="G5">
    <cfRule type="expression" dxfId="529" priority="782" stopIfTrue="1">
      <formula>P5&lt;V5</formula>
    </cfRule>
    <cfRule type="expression" dxfId="528" priority="783" stopIfTrue="1">
      <formula>P5&gt;V5</formula>
    </cfRule>
  </conditionalFormatting>
  <conditionalFormatting sqref="G6">
    <cfRule type="expression" dxfId="527" priority="780" stopIfTrue="1">
      <formula>P6&lt;V6</formula>
    </cfRule>
    <cfRule type="expression" dxfId="526" priority="781" stopIfTrue="1">
      <formula>P6&gt;V6</formula>
    </cfRule>
  </conditionalFormatting>
  <conditionalFormatting sqref="G7">
    <cfRule type="expression" dxfId="525" priority="778" stopIfTrue="1">
      <formula>P7&lt;V7</formula>
    </cfRule>
    <cfRule type="expression" dxfId="524" priority="779" stopIfTrue="1">
      <formula>P7&gt;V7</formula>
    </cfRule>
  </conditionalFormatting>
  <conditionalFormatting sqref="G8">
    <cfRule type="expression" dxfId="523" priority="775" stopIfTrue="1">
      <formula>P8&lt;V8</formula>
    </cfRule>
    <cfRule type="expression" dxfId="522" priority="776" stopIfTrue="1">
      <formula>P8&gt;V8</formula>
    </cfRule>
  </conditionalFormatting>
  <conditionalFormatting sqref="G9">
    <cfRule type="expression" dxfId="521" priority="773" stopIfTrue="1">
      <formula>P9&lt;V9</formula>
    </cfRule>
    <cfRule type="expression" dxfId="520" priority="774" stopIfTrue="1">
      <formula>P9&gt;V9</formula>
    </cfRule>
  </conditionalFormatting>
  <conditionalFormatting sqref="G10">
    <cfRule type="expression" dxfId="519" priority="771" stopIfTrue="1">
      <formula>P10&lt;V10</formula>
    </cfRule>
    <cfRule type="expression" dxfId="518" priority="772" stopIfTrue="1">
      <formula>P10&gt;V10</formula>
    </cfRule>
  </conditionalFormatting>
  <conditionalFormatting sqref="G11">
    <cfRule type="expression" dxfId="517" priority="769" stopIfTrue="1">
      <formula>P11&lt;V11</formula>
    </cfRule>
    <cfRule type="expression" dxfId="516" priority="770" stopIfTrue="1">
      <formula>P11&gt;V11</formula>
    </cfRule>
  </conditionalFormatting>
  <conditionalFormatting sqref="G12">
    <cfRule type="expression" dxfId="515" priority="767" stopIfTrue="1">
      <formula>P12&lt;V12</formula>
    </cfRule>
    <cfRule type="expression" dxfId="514" priority="768" stopIfTrue="1">
      <formula>P12&gt;V12</formula>
    </cfRule>
  </conditionalFormatting>
  <conditionalFormatting sqref="G13">
    <cfRule type="expression" dxfId="513" priority="765" stopIfTrue="1">
      <formula>P13&lt;V13</formula>
    </cfRule>
    <cfRule type="expression" dxfId="512" priority="766" stopIfTrue="1">
      <formula>P13&gt;V13</formula>
    </cfRule>
  </conditionalFormatting>
  <conditionalFormatting sqref="G14">
    <cfRule type="expression" dxfId="511" priority="763" stopIfTrue="1">
      <formula>P14&lt;V14</formula>
    </cfRule>
    <cfRule type="expression" dxfId="510" priority="764" stopIfTrue="1">
      <formula>P14&gt;V14</formula>
    </cfRule>
  </conditionalFormatting>
  <conditionalFormatting sqref="G15">
    <cfRule type="expression" dxfId="509" priority="761" stopIfTrue="1">
      <formula>P15&lt;V15</formula>
    </cfRule>
    <cfRule type="expression" dxfId="508" priority="762" stopIfTrue="1">
      <formula>P15&gt;V15</formula>
    </cfRule>
  </conditionalFormatting>
  <conditionalFormatting sqref="G16">
    <cfRule type="expression" dxfId="507" priority="759" stopIfTrue="1">
      <formula>P16&lt;V16</formula>
    </cfRule>
    <cfRule type="expression" dxfId="506" priority="760" stopIfTrue="1">
      <formula>P16&gt;V16</formula>
    </cfRule>
  </conditionalFormatting>
  <conditionalFormatting sqref="G17">
    <cfRule type="expression" dxfId="505" priority="757" stopIfTrue="1">
      <formula>P17&lt;V17</formula>
    </cfRule>
    <cfRule type="expression" dxfId="504" priority="758" stopIfTrue="1">
      <formula>P17&gt;V17</formula>
    </cfRule>
  </conditionalFormatting>
  <conditionalFormatting sqref="G18">
    <cfRule type="expression" dxfId="503" priority="755" stopIfTrue="1">
      <formula>P18&lt;V18</formula>
    </cfRule>
    <cfRule type="expression" dxfId="502" priority="756" stopIfTrue="1">
      <formula>P18&gt;V18</formula>
    </cfRule>
  </conditionalFormatting>
  <conditionalFormatting sqref="G19">
    <cfRule type="expression" dxfId="501" priority="753" stopIfTrue="1">
      <formula>P19&lt;V19</formula>
    </cfRule>
    <cfRule type="expression" dxfId="500" priority="754" stopIfTrue="1">
      <formula>P19&gt;V19</formula>
    </cfRule>
  </conditionalFormatting>
  <conditionalFormatting sqref="G20">
    <cfRule type="expression" dxfId="499" priority="751" stopIfTrue="1">
      <formula>P20&lt;V20</formula>
    </cfRule>
    <cfRule type="expression" dxfId="498" priority="752" stopIfTrue="1">
      <formula>P20&gt;V20</formula>
    </cfRule>
  </conditionalFormatting>
  <conditionalFormatting sqref="G21">
    <cfRule type="expression" dxfId="497" priority="749" stopIfTrue="1">
      <formula>P21&lt;V21</formula>
    </cfRule>
    <cfRule type="expression" dxfId="496" priority="750" stopIfTrue="1">
      <formula>P21&gt;V21</formula>
    </cfRule>
  </conditionalFormatting>
  <conditionalFormatting sqref="G22">
    <cfRule type="expression" dxfId="495" priority="747" stopIfTrue="1">
      <formula>P22&lt;V22</formula>
    </cfRule>
    <cfRule type="expression" dxfId="494" priority="748" stopIfTrue="1">
      <formula>P22&gt;V22</formula>
    </cfRule>
  </conditionalFormatting>
  <conditionalFormatting sqref="G23">
    <cfRule type="expression" dxfId="493" priority="745" stopIfTrue="1">
      <formula>P23&lt;V23</formula>
    </cfRule>
    <cfRule type="expression" dxfId="492" priority="746" stopIfTrue="1">
      <formula>P23&gt;V23</formula>
    </cfRule>
  </conditionalFormatting>
  <conditionalFormatting sqref="G24">
    <cfRule type="expression" dxfId="491" priority="743" stopIfTrue="1">
      <formula>P24&lt;V24</formula>
    </cfRule>
    <cfRule type="expression" dxfId="490" priority="744" stopIfTrue="1">
      <formula>P24&gt;V24</formula>
    </cfRule>
  </conditionalFormatting>
  <conditionalFormatting sqref="G25">
    <cfRule type="expression" dxfId="489" priority="741" stopIfTrue="1">
      <formula>P25&lt;V25</formula>
    </cfRule>
    <cfRule type="expression" dxfId="488" priority="742" stopIfTrue="1">
      <formula>P25&gt;V25</formula>
    </cfRule>
  </conditionalFormatting>
  <conditionalFormatting sqref="G26">
    <cfRule type="expression" dxfId="487" priority="739" stopIfTrue="1">
      <formula>P26&lt;V26</formula>
    </cfRule>
    <cfRule type="expression" dxfId="486" priority="740" stopIfTrue="1">
      <formula>P26&gt;V26</formula>
    </cfRule>
  </conditionalFormatting>
  <conditionalFormatting sqref="G27">
    <cfRule type="expression" dxfId="485" priority="737" stopIfTrue="1">
      <formula>P27&lt;V27</formula>
    </cfRule>
    <cfRule type="expression" dxfId="484" priority="738" stopIfTrue="1">
      <formula>P27&gt;V27</formula>
    </cfRule>
  </conditionalFormatting>
  <conditionalFormatting sqref="G28">
    <cfRule type="expression" dxfId="483" priority="735" stopIfTrue="1">
      <formula>P28&lt;V28</formula>
    </cfRule>
    <cfRule type="expression" dxfId="482" priority="736" stopIfTrue="1">
      <formula>P28&gt;V28</formula>
    </cfRule>
  </conditionalFormatting>
  <conditionalFormatting sqref="G29">
    <cfRule type="expression" dxfId="481" priority="733" stopIfTrue="1">
      <formula>P29&lt;V29</formula>
    </cfRule>
    <cfRule type="expression" dxfId="480" priority="734" stopIfTrue="1">
      <formula>P29&gt;V29</formula>
    </cfRule>
  </conditionalFormatting>
  <conditionalFormatting sqref="G30">
    <cfRule type="expression" dxfId="479" priority="731" stopIfTrue="1">
      <formula>P30&lt;V30</formula>
    </cfRule>
    <cfRule type="expression" dxfId="478" priority="732" stopIfTrue="1">
      <formula>P30&gt;V30</formula>
    </cfRule>
  </conditionalFormatting>
  <conditionalFormatting sqref="G31">
    <cfRule type="expression" dxfId="477" priority="729" stopIfTrue="1">
      <formula>P31&lt;V31</formula>
    </cfRule>
    <cfRule type="expression" dxfId="476" priority="730" stopIfTrue="1">
      <formula>P31&gt;V31</formula>
    </cfRule>
  </conditionalFormatting>
  <conditionalFormatting sqref="G32">
    <cfRule type="expression" dxfId="475" priority="727" stopIfTrue="1">
      <formula>P32&lt;V32</formula>
    </cfRule>
    <cfRule type="expression" dxfId="474" priority="728" stopIfTrue="1">
      <formula>P32&gt;V32</formula>
    </cfRule>
  </conditionalFormatting>
  <conditionalFormatting sqref="G33">
    <cfRule type="expression" dxfId="473" priority="725" stopIfTrue="1">
      <formula>P33&lt;V33</formula>
    </cfRule>
    <cfRule type="expression" dxfId="472" priority="726" stopIfTrue="1">
      <formula>P33&gt;V33</formula>
    </cfRule>
  </conditionalFormatting>
  <conditionalFormatting sqref="G34">
    <cfRule type="expression" dxfId="471" priority="723" stopIfTrue="1">
      <formula>P34&lt;V34</formula>
    </cfRule>
    <cfRule type="expression" dxfId="470" priority="724" stopIfTrue="1">
      <formula>P34&gt;V34</formula>
    </cfRule>
  </conditionalFormatting>
  <conditionalFormatting sqref="G35">
    <cfRule type="expression" dxfId="469" priority="721" stopIfTrue="1">
      <formula>P35&lt;V35</formula>
    </cfRule>
    <cfRule type="expression" dxfId="468" priority="722" stopIfTrue="1">
      <formula>P35&gt;V35</formula>
    </cfRule>
  </conditionalFormatting>
  <conditionalFormatting sqref="G36">
    <cfRule type="expression" dxfId="467" priority="719" stopIfTrue="1">
      <formula>P36&lt;V36</formula>
    </cfRule>
    <cfRule type="expression" dxfId="466" priority="720" stopIfTrue="1">
      <formula>P36&gt;V36</formula>
    </cfRule>
  </conditionalFormatting>
  <conditionalFormatting sqref="G37">
    <cfRule type="expression" dxfId="465" priority="717" stopIfTrue="1">
      <formula>P37&lt;V37</formula>
    </cfRule>
    <cfRule type="expression" dxfId="464" priority="718" stopIfTrue="1">
      <formula>P37&gt;V37</formula>
    </cfRule>
  </conditionalFormatting>
  <conditionalFormatting sqref="G38">
    <cfRule type="expression" dxfId="463" priority="715" stopIfTrue="1">
      <formula>P38&lt;V38</formula>
    </cfRule>
    <cfRule type="expression" dxfId="462" priority="716" stopIfTrue="1">
      <formula>P38&gt;V38</formula>
    </cfRule>
  </conditionalFormatting>
  <conditionalFormatting sqref="G39">
    <cfRule type="expression" dxfId="461" priority="713" stopIfTrue="1">
      <formula>P39&lt;V39</formula>
    </cfRule>
    <cfRule type="expression" dxfId="460" priority="714" stopIfTrue="1">
      <formula>P39&gt;V39</formula>
    </cfRule>
  </conditionalFormatting>
  <conditionalFormatting sqref="G40">
    <cfRule type="expression" dxfId="459" priority="711" stopIfTrue="1">
      <formula>P40&lt;V40</formula>
    </cfRule>
    <cfRule type="expression" dxfId="458" priority="712" stopIfTrue="1">
      <formula>P40&gt;V40</formula>
    </cfRule>
  </conditionalFormatting>
  <conditionalFormatting sqref="G41">
    <cfRule type="expression" dxfId="457" priority="709" stopIfTrue="1">
      <formula>P41&lt;V41</formula>
    </cfRule>
    <cfRule type="expression" dxfId="456" priority="710" stopIfTrue="1">
      <formula>P41&gt;V41</formula>
    </cfRule>
  </conditionalFormatting>
  <conditionalFormatting sqref="G42">
    <cfRule type="expression" dxfId="455" priority="707" stopIfTrue="1">
      <formula>P42&lt;V42</formula>
    </cfRule>
    <cfRule type="expression" dxfId="454" priority="708" stopIfTrue="1">
      <formula>P42&gt;V42</formula>
    </cfRule>
  </conditionalFormatting>
  <conditionalFormatting sqref="G43">
    <cfRule type="expression" dxfId="453" priority="705" stopIfTrue="1">
      <formula>P43&lt;V43</formula>
    </cfRule>
    <cfRule type="expression" dxfId="452" priority="706" stopIfTrue="1">
      <formula>P43&gt;V43</formula>
    </cfRule>
  </conditionalFormatting>
  <conditionalFormatting sqref="G44">
    <cfRule type="expression" dxfId="451" priority="703" stopIfTrue="1">
      <formula>P44&lt;V44</formula>
    </cfRule>
    <cfRule type="expression" dxfId="450" priority="704" stopIfTrue="1">
      <formula>P44&gt;V44</formula>
    </cfRule>
  </conditionalFormatting>
  <conditionalFormatting sqref="G45">
    <cfRule type="expression" dxfId="449" priority="701" stopIfTrue="1">
      <formula>P45&lt;V45</formula>
    </cfRule>
    <cfRule type="expression" dxfId="448" priority="702" stopIfTrue="1">
      <formula>P45&gt;V45</formula>
    </cfRule>
  </conditionalFormatting>
  <conditionalFormatting sqref="G46">
    <cfRule type="expression" dxfId="447" priority="699" stopIfTrue="1">
      <formula>P46&lt;V46</formula>
    </cfRule>
    <cfRule type="expression" dxfId="446" priority="700" stopIfTrue="1">
      <formula>P46&gt;V46</formula>
    </cfRule>
  </conditionalFormatting>
  <conditionalFormatting sqref="G47">
    <cfRule type="expression" dxfId="445" priority="697" stopIfTrue="1">
      <formula>P47&lt;V47</formula>
    </cfRule>
    <cfRule type="expression" dxfId="444" priority="698" stopIfTrue="1">
      <formula>P47&gt;V47</formula>
    </cfRule>
  </conditionalFormatting>
  <conditionalFormatting sqref="G48">
    <cfRule type="expression" dxfId="443" priority="695" stopIfTrue="1">
      <formula>P48&lt;V48</formula>
    </cfRule>
    <cfRule type="expression" dxfId="442" priority="696" stopIfTrue="1">
      <formula>P48&gt;V48</formula>
    </cfRule>
  </conditionalFormatting>
  <conditionalFormatting sqref="G50">
    <cfRule type="expression" dxfId="441" priority="691" stopIfTrue="1">
      <formula>P50&lt;V50</formula>
    </cfRule>
    <cfRule type="expression" dxfId="440" priority="692" stopIfTrue="1">
      <formula>P50&gt;V50</formula>
    </cfRule>
  </conditionalFormatting>
  <conditionalFormatting sqref="G51">
    <cfRule type="expression" dxfId="439" priority="689" stopIfTrue="1">
      <formula>P51&lt;V51</formula>
    </cfRule>
    <cfRule type="expression" dxfId="438" priority="690" stopIfTrue="1">
      <formula>P51&gt;V51</formula>
    </cfRule>
  </conditionalFormatting>
  <conditionalFormatting sqref="G52">
    <cfRule type="expression" dxfId="437" priority="688" stopIfTrue="1">
      <formula>P52&lt;V52</formula>
    </cfRule>
    <cfRule type="expression" dxfId="436" priority="777" stopIfTrue="1">
      <formula>P52&gt;V52</formula>
    </cfRule>
  </conditionalFormatting>
  <conditionalFormatting sqref="G53">
    <cfRule type="expression" dxfId="435" priority="686" stopIfTrue="1">
      <formula>P53&lt;V53</formula>
    </cfRule>
    <cfRule type="expression" dxfId="434" priority="687" stopIfTrue="1">
      <formula>P53&gt;V53</formula>
    </cfRule>
  </conditionalFormatting>
  <conditionalFormatting sqref="G54">
    <cfRule type="expression" dxfId="433" priority="684" stopIfTrue="1">
      <formula>P54&lt;V54</formula>
    </cfRule>
    <cfRule type="expression" dxfId="432" priority="685" stopIfTrue="1">
      <formula>P54&gt;V54</formula>
    </cfRule>
  </conditionalFormatting>
  <conditionalFormatting sqref="G55">
    <cfRule type="expression" dxfId="431" priority="682" stopIfTrue="1">
      <formula>P55&lt;V55</formula>
    </cfRule>
    <cfRule type="expression" dxfId="430" priority="683" stopIfTrue="1">
      <formula>P55&gt;V55</formula>
    </cfRule>
  </conditionalFormatting>
  <conditionalFormatting sqref="G56">
    <cfRule type="expression" dxfId="429" priority="676" stopIfTrue="1">
      <formula>P56&lt;V56</formula>
    </cfRule>
    <cfRule type="expression" dxfId="428" priority="677" stopIfTrue="1">
      <formula>P56&gt;V56</formula>
    </cfRule>
  </conditionalFormatting>
  <conditionalFormatting sqref="G57">
    <cfRule type="expression" dxfId="427" priority="674" stopIfTrue="1">
      <formula>P57&lt;V57</formula>
    </cfRule>
    <cfRule type="expression" dxfId="426" priority="675" stopIfTrue="1">
      <formula>P57&gt;V57</formula>
    </cfRule>
  </conditionalFormatting>
  <conditionalFormatting sqref="G58">
    <cfRule type="expression" dxfId="425" priority="671" stopIfTrue="1">
      <formula>P58&lt;V58</formula>
    </cfRule>
    <cfRule type="expression" dxfId="424" priority="672" stopIfTrue="1">
      <formula>P58&gt;V58</formula>
    </cfRule>
  </conditionalFormatting>
  <conditionalFormatting sqref="G59">
    <cfRule type="expression" dxfId="423" priority="668" stopIfTrue="1">
      <formula>P59&lt;V59</formula>
    </cfRule>
    <cfRule type="expression" dxfId="422" priority="669" stopIfTrue="1">
      <formula>P59&gt;V59</formula>
    </cfRule>
  </conditionalFormatting>
  <conditionalFormatting sqref="G60">
    <cfRule type="expression" dxfId="421" priority="665" stopIfTrue="1">
      <formula>P60&lt;V60</formula>
    </cfRule>
    <cfRule type="expression" dxfId="420" priority="666" stopIfTrue="1">
      <formula>P60&gt;V60</formula>
    </cfRule>
  </conditionalFormatting>
  <conditionalFormatting sqref="G61">
    <cfRule type="expression" dxfId="419" priority="662" stopIfTrue="1">
      <formula>P61&lt;V61</formula>
    </cfRule>
    <cfRule type="expression" dxfId="418" priority="663" stopIfTrue="1">
      <formula>P61&gt;V61</formula>
    </cfRule>
  </conditionalFormatting>
  <conditionalFormatting sqref="G62">
    <cfRule type="expression" dxfId="417" priority="659" stopIfTrue="1">
      <formula>P62&lt;V62</formula>
    </cfRule>
    <cfRule type="expression" dxfId="416" priority="660" stopIfTrue="1">
      <formula>P62&gt;V62</formula>
    </cfRule>
  </conditionalFormatting>
  <conditionalFormatting sqref="G63">
    <cfRule type="expression" dxfId="415" priority="656" stopIfTrue="1">
      <formula>P63&lt;V63</formula>
    </cfRule>
    <cfRule type="expression" dxfId="414" priority="657" stopIfTrue="1">
      <formula>P63&gt;V63</formula>
    </cfRule>
  </conditionalFormatting>
  <conditionalFormatting sqref="G64">
    <cfRule type="expression" dxfId="413" priority="653" stopIfTrue="1">
      <formula>P64&lt;V64</formula>
    </cfRule>
    <cfRule type="expression" dxfId="412" priority="654" stopIfTrue="1">
      <formula>P64&gt;V64</formula>
    </cfRule>
  </conditionalFormatting>
  <conditionalFormatting sqref="G65">
    <cfRule type="expression" dxfId="411" priority="650" stopIfTrue="1">
      <formula>P65&lt;V65</formula>
    </cfRule>
    <cfRule type="expression" dxfId="410" priority="651" stopIfTrue="1">
      <formula>P65&gt;V65</formula>
    </cfRule>
  </conditionalFormatting>
  <conditionalFormatting sqref="G66">
    <cfRule type="expression" dxfId="409" priority="647" stopIfTrue="1">
      <formula>P66&lt;V66</formula>
    </cfRule>
    <cfRule type="expression" dxfId="408" priority="648" stopIfTrue="1">
      <formula>P66&gt;V66</formula>
    </cfRule>
  </conditionalFormatting>
  <conditionalFormatting sqref="G67">
    <cfRule type="expression" dxfId="407" priority="644" stopIfTrue="1">
      <formula>P67&lt;V67</formula>
    </cfRule>
    <cfRule type="expression" dxfId="406" priority="645" stopIfTrue="1">
      <formula>P67&gt;V67</formula>
    </cfRule>
  </conditionalFormatting>
  <conditionalFormatting sqref="G68">
    <cfRule type="expression" dxfId="405" priority="641" stopIfTrue="1">
      <formula>P68&lt;V68</formula>
    </cfRule>
    <cfRule type="expression" dxfId="404" priority="642" stopIfTrue="1">
      <formula>P68&gt;V68</formula>
    </cfRule>
  </conditionalFormatting>
  <conditionalFormatting sqref="G69">
    <cfRule type="expression" dxfId="403" priority="638" stopIfTrue="1">
      <formula>P69&lt;V69</formula>
    </cfRule>
    <cfRule type="expression" dxfId="402" priority="639" stopIfTrue="1">
      <formula>P69&gt;V69</formula>
    </cfRule>
  </conditionalFormatting>
  <conditionalFormatting sqref="G70">
    <cfRule type="expression" dxfId="401" priority="635" stopIfTrue="1">
      <formula>P70&lt;V70</formula>
    </cfRule>
    <cfRule type="expression" dxfId="400" priority="636" stopIfTrue="1">
      <formula>P70&gt;V70</formula>
    </cfRule>
  </conditionalFormatting>
  <conditionalFormatting sqref="G71">
    <cfRule type="expression" dxfId="399" priority="632" stopIfTrue="1">
      <formula>P71&lt;V71</formula>
    </cfRule>
    <cfRule type="expression" dxfId="398" priority="633" stopIfTrue="1">
      <formula>P71&gt;V71</formula>
    </cfRule>
  </conditionalFormatting>
  <conditionalFormatting sqref="G72">
    <cfRule type="expression" dxfId="397" priority="621" stopIfTrue="1">
      <formula>P72&lt;V72</formula>
    </cfRule>
    <cfRule type="expression" dxfId="396" priority="622" stopIfTrue="1">
      <formula>P72&gt;V72</formula>
    </cfRule>
  </conditionalFormatting>
  <conditionalFormatting sqref="G73">
    <cfRule type="expression" dxfId="395" priority="618" stopIfTrue="1">
      <formula>P73&lt;V73</formula>
    </cfRule>
    <cfRule type="expression" dxfId="394" priority="619" stopIfTrue="1">
      <formula>P73&gt;V73</formula>
    </cfRule>
  </conditionalFormatting>
  <conditionalFormatting sqref="G74">
    <cfRule type="expression" dxfId="393" priority="615" stopIfTrue="1">
      <formula>P74&lt;V74</formula>
    </cfRule>
    <cfRule type="expression" dxfId="392" priority="616" stopIfTrue="1">
      <formula>P74&gt;V74</formula>
    </cfRule>
  </conditionalFormatting>
  <conditionalFormatting sqref="G75">
    <cfRule type="expression" dxfId="391" priority="612" stopIfTrue="1">
      <formula>P75&lt;V75</formula>
    </cfRule>
    <cfRule type="expression" dxfId="390" priority="613" stopIfTrue="1">
      <formula>P75&gt;V75</formula>
    </cfRule>
  </conditionalFormatting>
  <conditionalFormatting sqref="G76">
    <cfRule type="expression" dxfId="389" priority="609" stopIfTrue="1">
      <formula>P76&lt;V76</formula>
    </cfRule>
    <cfRule type="expression" dxfId="388" priority="610" stopIfTrue="1">
      <formula>P76&gt;V76</formula>
    </cfRule>
  </conditionalFormatting>
  <conditionalFormatting sqref="G77">
    <cfRule type="expression" dxfId="387" priority="606" stopIfTrue="1">
      <formula>P77&lt;V77</formula>
    </cfRule>
    <cfRule type="expression" dxfId="386" priority="607" stopIfTrue="1">
      <formula>P77&gt;V77</formula>
    </cfRule>
  </conditionalFormatting>
  <conditionalFormatting sqref="G78">
    <cfRule type="expression" dxfId="385" priority="603" stopIfTrue="1">
      <formula>P78&lt;V78</formula>
    </cfRule>
    <cfRule type="expression" dxfId="384" priority="604" stopIfTrue="1">
      <formula>P78&gt;V78</formula>
    </cfRule>
  </conditionalFormatting>
  <conditionalFormatting sqref="G79">
    <cfRule type="expression" dxfId="383" priority="600" stopIfTrue="1">
      <formula>P79&lt;V79</formula>
    </cfRule>
    <cfRule type="expression" dxfId="382" priority="601" stopIfTrue="1">
      <formula>P79&gt;V79</formula>
    </cfRule>
  </conditionalFormatting>
  <conditionalFormatting sqref="G2:G986">
    <cfRule type="containsBlanks" priority="790" stopIfTrue="1">
      <formula>LEN(TRIM(G2))=0</formula>
    </cfRule>
  </conditionalFormatting>
  <conditionalFormatting sqref="G80">
    <cfRule type="expression" dxfId="381" priority="597" stopIfTrue="1">
      <formula>P80&lt;V80</formula>
    </cfRule>
    <cfRule type="expression" dxfId="380" priority="598" stopIfTrue="1">
      <formula>P80&gt;V80</formula>
    </cfRule>
  </conditionalFormatting>
  <conditionalFormatting sqref="G81">
    <cfRule type="containsBlanks" priority="593" stopIfTrue="1">
      <formula>LEN(TRIM(G81))=0</formula>
    </cfRule>
  </conditionalFormatting>
  <conditionalFormatting sqref="G81">
    <cfRule type="expression" dxfId="379" priority="594" stopIfTrue="1">
      <formula>P81&lt;V81</formula>
    </cfRule>
    <cfRule type="expression" dxfId="378" priority="595" stopIfTrue="1">
      <formula>P81&gt;V81</formula>
    </cfRule>
  </conditionalFormatting>
  <conditionalFormatting sqref="G82">
    <cfRule type="containsBlanks" priority="590" stopIfTrue="1">
      <formula>LEN(TRIM(G82))=0</formula>
    </cfRule>
  </conditionalFormatting>
  <conditionalFormatting sqref="G82">
    <cfRule type="expression" dxfId="377" priority="591" stopIfTrue="1">
      <formula>P82&lt;V82</formula>
    </cfRule>
    <cfRule type="expression" dxfId="376" priority="592" stopIfTrue="1">
      <formula>P82&gt;V82</formula>
    </cfRule>
  </conditionalFormatting>
  <conditionalFormatting sqref="G83">
    <cfRule type="containsBlanks" priority="587" stopIfTrue="1">
      <formula>LEN(TRIM(G83))=0</formula>
    </cfRule>
  </conditionalFormatting>
  <conditionalFormatting sqref="G83">
    <cfRule type="expression" dxfId="375" priority="588" stopIfTrue="1">
      <formula>P83&lt;V83</formula>
    </cfRule>
    <cfRule type="expression" dxfId="374" priority="589" stopIfTrue="1">
      <formula>P83&gt;V83</formula>
    </cfRule>
  </conditionalFormatting>
  <conditionalFormatting sqref="G84">
    <cfRule type="containsBlanks" priority="584" stopIfTrue="1">
      <formula>LEN(TRIM(G84))=0</formula>
    </cfRule>
  </conditionalFormatting>
  <conditionalFormatting sqref="G84">
    <cfRule type="expression" dxfId="373" priority="585" stopIfTrue="1">
      <formula>P84&lt;V84</formula>
    </cfRule>
    <cfRule type="expression" dxfId="372" priority="586" stopIfTrue="1">
      <formula>P84&gt;V84</formula>
    </cfRule>
  </conditionalFormatting>
  <conditionalFormatting sqref="G85">
    <cfRule type="containsBlanks" priority="581" stopIfTrue="1">
      <formula>LEN(TRIM(G85))=0</formula>
    </cfRule>
  </conditionalFormatting>
  <conditionalFormatting sqref="G85">
    <cfRule type="expression" dxfId="371" priority="582" stopIfTrue="1">
      <formula>P85&lt;V85</formula>
    </cfRule>
    <cfRule type="expression" dxfId="370" priority="583" stopIfTrue="1">
      <formula>P85&gt;V85</formula>
    </cfRule>
  </conditionalFormatting>
  <conditionalFormatting sqref="G86">
    <cfRule type="containsBlanks" priority="578" stopIfTrue="1">
      <formula>LEN(TRIM(G86))=0</formula>
    </cfRule>
  </conditionalFormatting>
  <conditionalFormatting sqref="G86">
    <cfRule type="expression" dxfId="369" priority="579" stopIfTrue="1">
      <formula>P86&lt;V86</formula>
    </cfRule>
    <cfRule type="expression" dxfId="368" priority="580" stopIfTrue="1">
      <formula>P86&gt;V86</formula>
    </cfRule>
  </conditionalFormatting>
  <conditionalFormatting sqref="G87">
    <cfRule type="containsBlanks" priority="575" stopIfTrue="1">
      <formula>LEN(TRIM(G87))=0</formula>
    </cfRule>
  </conditionalFormatting>
  <conditionalFormatting sqref="G87">
    <cfRule type="expression" dxfId="367" priority="576" stopIfTrue="1">
      <formula>P87&lt;V87</formula>
    </cfRule>
    <cfRule type="expression" dxfId="366" priority="577" stopIfTrue="1">
      <formula>P87&gt;V87</formula>
    </cfRule>
  </conditionalFormatting>
  <conditionalFormatting sqref="G88">
    <cfRule type="containsBlanks" priority="572" stopIfTrue="1">
      <formula>LEN(TRIM(G88))=0</formula>
    </cfRule>
  </conditionalFormatting>
  <conditionalFormatting sqref="G88">
    <cfRule type="expression" dxfId="365" priority="573" stopIfTrue="1">
      <formula>P88&lt;V88</formula>
    </cfRule>
    <cfRule type="expression" dxfId="364" priority="574" stopIfTrue="1">
      <formula>P88&gt;V88</formula>
    </cfRule>
  </conditionalFormatting>
  <conditionalFormatting sqref="G89">
    <cfRule type="containsBlanks" priority="569" stopIfTrue="1">
      <formula>LEN(TRIM(G89))=0</formula>
    </cfRule>
  </conditionalFormatting>
  <conditionalFormatting sqref="G89">
    <cfRule type="expression" dxfId="363" priority="570" stopIfTrue="1">
      <formula>P89&lt;V89</formula>
    </cfRule>
    <cfRule type="expression" dxfId="362" priority="571" stopIfTrue="1">
      <formula>P89&gt;V89</formula>
    </cfRule>
  </conditionalFormatting>
  <conditionalFormatting sqref="G90">
    <cfRule type="containsBlanks" priority="564" stopIfTrue="1">
      <formula>LEN(TRIM(G90))=0</formula>
    </cfRule>
  </conditionalFormatting>
  <conditionalFormatting sqref="G90">
    <cfRule type="expression" dxfId="361" priority="565" stopIfTrue="1">
      <formula>P90&lt;V90</formula>
    </cfRule>
    <cfRule type="expression" dxfId="360" priority="566" stopIfTrue="1">
      <formula>P90&gt;V90</formula>
    </cfRule>
  </conditionalFormatting>
  <conditionalFormatting sqref="G91">
    <cfRule type="containsBlanks" priority="561" stopIfTrue="1">
      <formula>LEN(TRIM(G91))=0</formula>
    </cfRule>
  </conditionalFormatting>
  <conditionalFormatting sqref="G91">
    <cfRule type="expression" dxfId="359" priority="562" stopIfTrue="1">
      <formula>P91&lt;V91</formula>
    </cfRule>
    <cfRule type="expression" dxfId="358" priority="563" stopIfTrue="1">
      <formula>P91&gt;V91</formula>
    </cfRule>
  </conditionalFormatting>
  <conditionalFormatting sqref="G92">
    <cfRule type="containsBlanks" priority="558" stopIfTrue="1">
      <formula>LEN(TRIM(G92))=0</formula>
    </cfRule>
  </conditionalFormatting>
  <conditionalFormatting sqref="G92">
    <cfRule type="expression" dxfId="357" priority="559" stopIfTrue="1">
      <formula>P92&lt;V92</formula>
    </cfRule>
    <cfRule type="expression" dxfId="356" priority="560" stopIfTrue="1">
      <formula>P92&gt;V92</formula>
    </cfRule>
  </conditionalFormatting>
  <conditionalFormatting sqref="G93">
    <cfRule type="containsBlanks" priority="555" stopIfTrue="1">
      <formula>LEN(TRIM(G93))=0</formula>
    </cfRule>
  </conditionalFormatting>
  <conditionalFormatting sqref="G93">
    <cfRule type="expression" dxfId="355" priority="556" stopIfTrue="1">
      <formula>P93&lt;V93</formula>
    </cfRule>
    <cfRule type="expression" dxfId="354" priority="557" stopIfTrue="1">
      <formula>P93&gt;V93</formula>
    </cfRule>
  </conditionalFormatting>
  <conditionalFormatting sqref="G94">
    <cfRule type="containsBlanks" priority="552" stopIfTrue="1">
      <formula>LEN(TRIM(G94))=0</formula>
    </cfRule>
  </conditionalFormatting>
  <conditionalFormatting sqref="G94">
    <cfRule type="expression" dxfId="353" priority="553" stopIfTrue="1">
      <formula>P94&lt;V94</formula>
    </cfRule>
    <cfRule type="expression" dxfId="352" priority="554" stopIfTrue="1">
      <formula>P94&gt;V94</formula>
    </cfRule>
  </conditionalFormatting>
  <conditionalFormatting sqref="G96">
    <cfRule type="containsBlanks" priority="546" stopIfTrue="1">
      <formula>LEN(TRIM(G96))=0</formula>
    </cfRule>
  </conditionalFormatting>
  <conditionalFormatting sqref="G96">
    <cfRule type="expression" dxfId="351" priority="547" stopIfTrue="1">
      <formula>P96&lt;V96</formula>
    </cfRule>
    <cfRule type="expression" dxfId="350" priority="548" stopIfTrue="1">
      <formula>P96&gt;V96</formula>
    </cfRule>
  </conditionalFormatting>
  <conditionalFormatting sqref="G97">
    <cfRule type="containsBlanks" priority="543" stopIfTrue="1">
      <formula>LEN(TRIM(G97))=0</formula>
    </cfRule>
  </conditionalFormatting>
  <conditionalFormatting sqref="G97">
    <cfRule type="expression" dxfId="349" priority="544" stopIfTrue="1">
      <formula>P97&lt;V97</formula>
    </cfRule>
    <cfRule type="expression" dxfId="348" priority="545" stopIfTrue="1">
      <formula>P97&gt;V97</formula>
    </cfRule>
  </conditionalFormatting>
  <conditionalFormatting sqref="G98">
    <cfRule type="containsBlanks" priority="540" stopIfTrue="1">
      <formula>LEN(TRIM(G98))=0</formula>
    </cfRule>
  </conditionalFormatting>
  <conditionalFormatting sqref="G98">
    <cfRule type="expression" dxfId="347" priority="541" stopIfTrue="1">
      <formula>P98&lt;V98</formula>
    </cfRule>
    <cfRule type="expression" dxfId="346" priority="542" stopIfTrue="1">
      <formula>P98&gt;V98</formula>
    </cfRule>
  </conditionalFormatting>
  <conditionalFormatting sqref="G99">
    <cfRule type="containsBlanks" priority="537" stopIfTrue="1">
      <formula>LEN(TRIM(G99))=0</formula>
    </cfRule>
  </conditionalFormatting>
  <conditionalFormatting sqref="G99">
    <cfRule type="expression" dxfId="345" priority="538" stopIfTrue="1">
      <formula>P99&lt;V99</formula>
    </cfRule>
    <cfRule type="expression" dxfId="344" priority="539" stopIfTrue="1">
      <formula>P99&gt;V99</formula>
    </cfRule>
  </conditionalFormatting>
  <conditionalFormatting sqref="G100">
    <cfRule type="containsBlanks" priority="534" stopIfTrue="1">
      <formula>LEN(TRIM(G100))=0</formula>
    </cfRule>
  </conditionalFormatting>
  <conditionalFormatting sqref="G100">
    <cfRule type="expression" dxfId="343" priority="535" stopIfTrue="1">
      <formula>P100&lt;V100</formula>
    </cfRule>
    <cfRule type="expression" dxfId="342" priority="536" stopIfTrue="1">
      <formula>P100&gt;V100</formula>
    </cfRule>
  </conditionalFormatting>
  <conditionalFormatting sqref="G101">
    <cfRule type="containsBlanks" priority="531" stopIfTrue="1">
      <formula>LEN(TRIM(G101))=0</formula>
    </cfRule>
  </conditionalFormatting>
  <conditionalFormatting sqref="G101">
    <cfRule type="expression" dxfId="341" priority="532" stopIfTrue="1">
      <formula>P101&lt;V101</formula>
    </cfRule>
    <cfRule type="expression" dxfId="340" priority="533" stopIfTrue="1">
      <formula>P101&gt;V101</formula>
    </cfRule>
  </conditionalFormatting>
  <conditionalFormatting sqref="G102">
    <cfRule type="containsBlanks" priority="528" stopIfTrue="1">
      <formula>LEN(TRIM(G102))=0</formula>
    </cfRule>
  </conditionalFormatting>
  <conditionalFormatting sqref="G102">
    <cfRule type="expression" dxfId="339" priority="529" stopIfTrue="1">
      <formula>P102&lt;V102</formula>
    </cfRule>
    <cfRule type="expression" dxfId="338" priority="530" stopIfTrue="1">
      <formula>P102&gt;V102</formula>
    </cfRule>
  </conditionalFormatting>
  <conditionalFormatting sqref="G103">
    <cfRule type="containsBlanks" priority="525" stopIfTrue="1">
      <formula>LEN(TRIM(G103))=0</formula>
    </cfRule>
  </conditionalFormatting>
  <conditionalFormatting sqref="G103">
    <cfRule type="expression" dxfId="337" priority="526" stopIfTrue="1">
      <formula>P103&lt;V103</formula>
    </cfRule>
    <cfRule type="expression" dxfId="336" priority="527" stopIfTrue="1">
      <formula>P103&gt;V103</formula>
    </cfRule>
  </conditionalFormatting>
  <conditionalFormatting sqref="G104">
    <cfRule type="containsBlanks" priority="522" stopIfTrue="1">
      <formula>LEN(TRIM(G104))=0</formula>
    </cfRule>
  </conditionalFormatting>
  <conditionalFormatting sqref="G104">
    <cfRule type="expression" dxfId="335" priority="523" stopIfTrue="1">
      <formula>P104&lt;V104</formula>
    </cfRule>
    <cfRule type="expression" dxfId="334" priority="524" stopIfTrue="1">
      <formula>P104&gt;V104</formula>
    </cfRule>
  </conditionalFormatting>
  <conditionalFormatting sqref="G105">
    <cfRule type="containsBlanks" priority="519" stopIfTrue="1">
      <formula>LEN(TRIM(G105))=0</formula>
    </cfRule>
  </conditionalFormatting>
  <conditionalFormatting sqref="G105">
    <cfRule type="expression" dxfId="333" priority="520" stopIfTrue="1">
      <formula>P105&lt;V105</formula>
    </cfRule>
    <cfRule type="expression" dxfId="332" priority="521" stopIfTrue="1">
      <formula>P105&gt;V105</formula>
    </cfRule>
  </conditionalFormatting>
  <conditionalFormatting sqref="G106">
    <cfRule type="containsBlanks" priority="516" stopIfTrue="1">
      <formula>LEN(TRIM(G106))=0</formula>
    </cfRule>
  </conditionalFormatting>
  <conditionalFormatting sqref="G106">
    <cfRule type="expression" dxfId="331" priority="517" stopIfTrue="1">
      <formula>P106&lt;V106</formula>
    </cfRule>
    <cfRule type="expression" dxfId="330" priority="518" stopIfTrue="1">
      <formula>P106&gt;V106</formula>
    </cfRule>
  </conditionalFormatting>
  <conditionalFormatting sqref="G107">
    <cfRule type="containsBlanks" priority="513" stopIfTrue="1">
      <formula>LEN(TRIM(G107))=0</formula>
    </cfRule>
  </conditionalFormatting>
  <conditionalFormatting sqref="G107">
    <cfRule type="expression" dxfId="329" priority="514" stopIfTrue="1">
      <formula>P107&lt;V107</formula>
    </cfRule>
    <cfRule type="expression" dxfId="328" priority="515" stopIfTrue="1">
      <formula>P107&gt;V107</formula>
    </cfRule>
  </conditionalFormatting>
  <conditionalFormatting sqref="G108">
    <cfRule type="containsBlanks" priority="510" stopIfTrue="1">
      <formula>LEN(TRIM(G108))=0</formula>
    </cfRule>
  </conditionalFormatting>
  <conditionalFormatting sqref="G108">
    <cfRule type="expression" dxfId="327" priority="511" stopIfTrue="1">
      <formula>P108&lt;V108</formula>
    </cfRule>
    <cfRule type="expression" dxfId="326" priority="512" stopIfTrue="1">
      <formula>P108&gt;V108</formula>
    </cfRule>
  </conditionalFormatting>
  <conditionalFormatting sqref="G109">
    <cfRule type="containsBlanks" priority="507" stopIfTrue="1">
      <formula>LEN(TRIM(G109))=0</formula>
    </cfRule>
  </conditionalFormatting>
  <conditionalFormatting sqref="G109">
    <cfRule type="expression" dxfId="325" priority="508" stopIfTrue="1">
      <formula>P109&lt;V109</formula>
    </cfRule>
    <cfRule type="expression" dxfId="324" priority="509" stopIfTrue="1">
      <formula>P109&gt;V109</formula>
    </cfRule>
  </conditionalFormatting>
  <conditionalFormatting sqref="G110">
    <cfRule type="containsBlanks" priority="504" stopIfTrue="1">
      <formula>LEN(TRIM(G110))=0</formula>
    </cfRule>
  </conditionalFormatting>
  <conditionalFormatting sqref="G110">
    <cfRule type="expression" dxfId="323" priority="505" stopIfTrue="1">
      <formula>P110&lt;V110</formula>
    </cfRule>
    <cfRule type="expression" dxfId="322" priority="506" stopIfTrue="1">
      <formula>P110&gt;V110</formula>
    </cfRule>
  </conditionalFormatting>
  <conditionalFormatting sqref="G111">
    <cfRule type="containsBlanks" priority="501" stopIfTrue="1">
      <formula>LEN(TRIM(G111))=0</formula>
    </cfRule>
  </conditionalFormatting>
  <conditionalFormatting sqref="G111">
    <cfRule type="expression" dxfId="321" priority="502" stopIfTrue="1">
      <formula>P111&lt;V111</formula>
    </cfRule>
    <cfRule type="expression" dxfId="320" priority="503" stopIfTrue="1">
      <formula>P111&gt;V111</formula>
    </cfRule>
  </conditionalFormatting>
  <conditionalFormatting sqref="G112">
    <cfRule type="containsBlanks" priority="498" stopIfTrue="1">
      <formula>LEN(TRIM(G112))=0</formula>
    </cfRule>
  </conditionalFormatting>
  <conditionalFormatting sqref="G112">
    <cfRule type="expression" dxfId="319" priority="499" stopIfTrue="1">
      <formula>P112&lt;V112</formula>
    </cfRule>
    <cfRule type="expression" dxfId="318" priority="500" stopIfTrue="1">
      <formula>P112&gt;V112</formula>
    </cfRule>
  </conditionalFormatting>
  <conditionalFormatting sqref="G113">
    <cfRule type="containsBlanks" priority="495" stopIfTrue="1">
      <formula>LEN(TRIM(G113))=0</formula>
    </cfRule>
  </conditionalFormatting>
  <conditionalFormatting sqref="G113">
    <cfRule type="expression" dxfId="317" priority="496" stopIfTrue="1">
      <formula>P113&lt;V113</formula>
    </cfRule>
    <cfRule type="expression" dxfId="316" priority="497" stopIfTrue="1">
      <formula>P113&gt;V113</formula>
    </cfRule>
  </conditionalFormatting>
  <conditionalFormatting sqref="G114">
    <cfRule type="containsBlanks" priority="492" stopIfTrue="1">
      <formula>LEN(TRIM(G114))=0</formula>
    </cfRule>
  </conditionalFormatting>
  <conditionalFormatting sqref="G114">
    <cfRule type="expression" dxfId="315" priority="493" stopIfTrue="1">
      <formula>P114&lt;V114</formula>
    </cfRule>
    <cfRule type="expression" dxfId="314" priority="494" stopIfTrue="1">
      <formula>P114&gt;V114</formula>
    </cfRule>
  </conditionalFormatting>
  <conditionalFormatting sqref="G115">
    <cfRule type="containsBlanks" priority="489" stopIfTrue="1">
      <formula>LEN(TRIM(G115))=0</formula>
    </cfRule>
  </conditionalFormatting>
  <conditionalFormatting sqref="G115">
    <cfRule type="expression" dxfId="313" priority="490" stopIfTrue="1">
      <formula>P115&lt;V115</formula>
    </cfRule>
    <cfRule type="expression" dxfId="312" priority="491" stopIfTrue="1">
      <formula>P115&gt;V115</formula>
    </cfRule>
  </conditionalFormatting>
  <conditionalFormatting sqref="G116">
    <cfRule type="containsBlanks" priority="486" stopIfTrue="1">
      <formula>LEN(TRIM(G116))=0</formula>
    </cfRule>
  </conditionalFormatting>
  <conditionalFormatting sqref="G116">
    <cfRule type="expression" dxfId="311" priority="487" stopIfTrue="1">
      <formula>P116&lt;V116</formula>
    </cfRule>
    <cfRule type="expression" dxfId="310" priority="488" stopIfTrue="1">
      <formula>P116&gt;V116</formula>
    </cfRule>
  </conditionalFormatting>
  <conditionalFormatting sqref="G117">
    <cfRule type="containsBlanks" priority="483" stopIfTrue="1">
      <formula>LEN(TRIM(G117))=0</formula>
    </cfRule>
  </conditionalFormatting>
  <conditionalFormatting sqref="G117">
    <cfRule type="expression" dxfId="309" priority="484" stopIfTrue="1">
      <formula>P117&lt;V117</formula>
    </cfRule>
    <cfRule type="expression" dxfId="308" priority="485" stopIfTrue="1">
      <formula>P117&gt;V117</formula>
    </cfRule>
  </conditionalFormatting>
  <conditionalFormatting sqref="G118">
    <cfRule type="containsBlanks" priority="480" stopIfTrue="1">
      <formula>LEN(TRIM(G118))=0</formula>
    </cfRule>
  </conditionalFormatting>
  <conditionalFormatting sqref="G118">
    <cfRule type="expression" dxfId="307" priority="481" stopIfTrue="1">
      <formula>P118&lt;V118</formula>
    </cfRule>
    <cfRule type="expression" dxfId="306" priority="482" stopIfTrue="1">
      <formula>P118&gt;V118</formula>
    </cfRule>
  </conditionalFormatting>
  <conditionalFormatting sqref="G119">
    <cfRule type="containsBlanks" priority="477" stopIfTrue="1">
      <formula>LEN(TRIM(G119))=0</formula>
    </cfRule>
  </conditionalFormatting>
  <conditionalFormatting sqref="G119">
    <cfRule type="expression" dxfId="305" priority="478" stopIfTrue="1">
      <formula>P119&lt;V119</formula>
    </cfRule>
    <cfRule type="expression" dxfId="304" priority="479" stopIfTrue="1">
      <formula>P119&gt;V119</formula>
    </cfRule>
  </conditionalFormatting>
  <conditionalFormatting sqref="G120">
    <cfRule type="containsBlanks" priority="474" stopIfTrue="1">
      <formula>LEN(TRIM(G120))=0</formula>
    </cfRule>
  </conditionalFormatting>
  <conditionalFormatting sqref="G120">
    <cfRule type="expression" dxfId="303" priority="475" stopIfTrue="1">
      <formula>P120&lt;V120</formula>
    </cfRule>
    <cfRule type="expression" dxfId="302" priority="476" stopIfTrue="1">
      <formula>P120&gt;V120</formula>
    </cfRule>
  </conditionalFormatting>
  <conditionalFormatting sqref="G121">
    <cfRule type="containsBlanks" priority="471" stopIfTrue="1">
      <formula>LEN(TRIM(G121))=0</formula>
    </cfRule>
  </conditionalFormatting>
  <conditionalFormatting sqref="G121">
    <cfRule type="expression" dxfId="301" priority="472" stopIfTrue="1">
      <formula>P121&lt;V121</formula>
    </cfRule>
    <cfRule type="expression" dxfId="300" priority="473" stopIfTrue="1">
      <formula>P121&gt;V121</formula>
    </cfRule>
  </conditionalFormatting>
  <conditionalFormatting sqref="G122">
    <cfRule type="containsBlanks" priority="468" stopIfTrue="1">
      <formula>LEN(TRIM(G122))=0</formula>
    </cfRule>
  </conditionalFormatting>
  <conditionalFormatting sqref="G122">
    <cfRule type="expression" dxfId="299" priority="469" stopIfTrue="1">
      <formula>P122&lt;V122</formula>
    </cfRule>
    <cfRule type="expression" dxfId="298" priority="470" stopIfTrue="1">
      <formula>P122&gt;V122</formula>
    </cfRule>
  </conditionalFormatting>
  <conditionalFormatting sqref="G123">
    <cfRule type="containsBlanks" priority="465" stopIfTrue="1">
      <formula>LEN(TRIM(G123))=0</formula>
    </cfRule>
  </conditionalFormatting>
  <conditionalFormatting sqref="G123">
    <cfRule type="expression" dxfId="297" priority="466" stopIfTrue="1">
      <formula>P123&lt;V123</formula>
    </cfRule>
    <cfRule type="expression" dxfId="296" priority="467" stopIfTrue="1">
      <formula>P123&gt;V123</formula>
    </cfRule>
  </conditionalFormatting>
  <conditionalFormatting sqref="G124">
    <cfRule type="containsBlanks" priority="462" stopIfTrue="1">
      <formula>LEN(TRIM(G124))=0</formula>
    </cfRule>
  </conditionalFormatting>
  <conditionalFormatting sqref="G124">
    <cfRule type="expression" dxfId="295" priority="463" stopIfTrue="1">
      <formula>P124&lt;V124</formula>
    </cfRule>
    <cfRule type="expression" dxfId="294" priority="464" stopIfTrue="1">
      <formula>P124&gt;V124</formula>
    </cfRule>
  </conditionalFormatting>
  <conditionalFormatting sqref="G125">
    <cfRule type="containsBlanks" priority="459" stopIfTrue="1">
      <formula>LEN(TRIM(G125))=0</formula>
    </cfRule>
  </conditionalFormatting>
  <conditionalFormatting sqref="G125">
    <cfRule type="expression" dxfId="293" priority="460" stopIfTrue="1">
      <formula>P125&lt;V125</formula>
    </cfRule>
    <cfRule type="expression" dxfId="292" priority="461" stopIfTrue="1">
      <formula>P125&gt;V125</formula>
    </cfRule>
  </conditionalFormatting>
  <conditionalFormatting sqref="G126">
    <cfRule type="containsBlanks" priority="456" stopIfTrue="1">
      <formula>LEN(TRIM(G126))=0</formula>
    </cfRule>
  </conditionalFormatting>
  <conditionalFormatting sqref="G126">
    <cfRule type="expression" dxfId="291" priority="457" stopIfTrue="1">
      <formula>P126&lt;V126</formula>
    </cfRule>
    <cfRule type="expression" dxfId="290" priority="458" stopIfTrue="1">
      <formula>P126&gt;V126</formula>
    </cfRule>
  </conditionalFormatting>
  <conditionalFormatting sqref="G127">
    <cfRule type="containsBlanks" priority="453" stopIfTrue="1">
      <formula>LEN(TRIM(G127))=0</formula>
    </cfRule>
  </conditionalFormatting>
  <conditionalFormatting sqref="G127">
    <cfRule type="expression" dxfId="289" priority="454" stopIfTrue="1">
      <formula>P127&lt;V127</formula>
    </cfRule>
    <cfRule type="expression" dxfId="288" priority="455" stopIfTrue="1">
      <formula>P127&gt;V127</formula>
    </cfRule>
  </conditionalFormatting>
  <conditionalFormatting sqref="G128">
    <cfRule type="containsBlanks" priority="450" stopIfTrue="1">
      <formula>LEN(TRIM(G128))=0</formula>
    </cfRule>
  </conditionalFormatting>
  <conditionalFormatting sqref="G128">
    <cfRule type="expression" dxfId="287" priority="451" stopIfTrue="1">
      <formula>P128&lt;V128</formula>
    </cfRule>
    <cfRule type="expression" dxfId="286" priority="452" stopIfTrue="1">
      <formula>P128&gt;V128</formula>
    </cfRule>
  </conditionalFormatting>
  <conditionalFormatting sqref="G129">
    <cfRule type="containsBlanks" priority="447" stopIfTrue="1">
      <formula>LEN(TRIM(G129))=0</formula>
    </cfRule>
  </conditionalFormatting>
  <conditionalFormatting sqref="G129">
    <cfRule type="expression" dxfId="285" priority="448" stopIfTrue="1">
      <formula>P129&lt;V129</formula>
    </cfRule>
    <cfRule type="expression" dxfId="284" priority="449" stopIfTrue="1">
      <formula>P129&gt;V129</formula>
    </cfRule>
  </conditionalFormatting>
  <conditionalFormatting sqref="G130">
    <cfRule type="containsBlanks" priority="444" stopIfTrue="1">
      <formula>LEN(TRIM(G130))=0</formula>
    </cfRule>
  </conditionalFormatting>
  <conditionalFormatting sqref="G130">
    <cfRule type="expression" dxfId="283" priority="445" stopIfTrue="1">
      <formula>P130&lt;V130</formula>
    </cfRule>
    <cfRule type="expression" dxfId="282" priority="446" stopIfTrue="1">
      <formula>P130&gt;V130</formula>
    </cfRule>
  </conditionalFormatting>
  <conditionalFormatting sqref="G131">
    <cfRule type="containsBlanks" priority="441" stopIfTrue="1">
      <formula>LEN(TRIM(G131))=0</formula>
    </cfRule>
  </conditionalFormatting>
  <conditionalFormatting sqref="G131">
    <cfRule type="expression" dxfId="281" priority="442" stopIfTrue="1">
      <formula>P131&lt;V131</formula>
    </cfRule>
    <cfRule type="expression" dxfId="280" priority="443" stopIfTrue="1">
      <formula>P131&gt;V131</formula>
    </cfRule>
  </conditionalFormatting>
  <conditionalFormatting sqref="G132">
    <cfRule type="containsBlanks" priority="438" stopIfTrue="1">
      <formula>LEN(TRIM(G132))=0</formula>
    </cfRule>
  </conditionalFormatting>
  <conditionalFormatting sqref="G132">
    <cfRule type="expression" dxfId="279" priority="439" stopIfTrue="1">
      <formula>P132&lt;V132</formula>
    </cfRule>
    <cfRule type="expression" dxfId="278" priority="440" stopIfTrue="1">
      <formula>P132&gt;V132</formula>
    </cfRule>
  </conditionalFormatting>
  <conditionalFormatting sqref="G133">
    <cfRule type="containsBlanks" priority="435" stopIfTrue="1">
      <formula>LEN(TRIM(G133))=0</formula>
    </cfRule>
  </conditionalFormatting>
  <conditionalFormatting sqref="G133">
    <cfRule type="expression" dxfId="277" priority="436" stopIfTrue="1">
      <formula>P133&lt;V133</formula>
    </cfRule>
    <cfRule type="expression" dxfId="276" priority="437" stopIfTrue="1">
      <formula>P133&gt;V133</formula>
    </cfRule>
  </conditionalFormatting>
  <conditionalFormatting sqref="G134">
    <cfRule type="containsBlanks" priority="432" stopIfTrue="1">
      <formula>LEN(TRIM(G134))=0</formula>
    </cfRule>
  </conditionalFormatting>
  <conditionalFormatting sqref="G134">
    <cfRule type="expression" dxfId="275" priority="433" stopIfTrue="1">
      <formula>P134&lt;V134</formula>
    </cfRule>
    <cfRule type="expression" dxfId="274" priority="434" stopIfTrue="1">
      <formula>P134&gt;V134</formula>
    </cfRule>
  </conditionalFormatting>
  <conditionalFormatting sqref="G135">
    <cfRule type="containsBlanks" priority="429" stopIfTrue="1">
      <formula>LEN(TRIM(G135))=0</formula>
    </cfRule>
  </conditionalFormatting>
  <conditionalFormatting sqref="G135">
    <cfRule type="expression" dxfId="273" priority="430" stopIfTrue="1">
      <formula>P135&lt;V135</formula>
    </cfRule>
    <cfRule type="expression" dxfId="272" priority="431" stopIfTrue="1">
      <formula>P135&gt;V135</formula>
    </cfRule>
  </conditionalFormatting>
  <conditionalFormatting sqref="G136">
    <cfRule type="containsBlanks" priority="426" stopIfTrue="1">
      <formula>LEN(TRIM(G136))=0</formula>
    </cfRule>
  </conditionalFormatting>
  <conditionalFormatting sqref="G136">
    <cfRule type="expression" dxfId="271" priority="427" stopIfTrue="1">
      <formula>P136&lt;V136</formula>
    </cfRule>
    <cfRule type="expression" dxfId="270" priority="428" stopIfTrue="1">
      <formula>P136&gt;V136</formula>
    </cfRule>
  </conditionalFormatting>
  <conditionalFormatting sqref="G137">
    <cfRule type="containsBlanks" priority="423" stopIfTrue="1">
      <formula>LEN(TRIM(G137))=0</formula>
    </cfRule>
  </conditionalFormatting>
  <conditionalFormatting sqref="G137">
    <cfRule type="expression" dxfId="269" priority="424" stopIfTrue="1">
      <formula>P137&lt;V137</formula>
    </cfRule>
    <cfRule type="expression" dxfId="268" priority="425" stopIfTrue="1">
      <formula>P137&gt;V137</formula>
    </cfRule>
  </conditionalFormatting>
  <conditionalFormatting sqref="G138">
    <cfRule type="containsBlanks" priority="420" stopIfTrue="1">
      <formula>LEN(TRIM(G138))=0</formula>
    </cfRule>
  </conditionalFormatting>
  <conditionalFormatting sqref="G138">
    <cfRule type="expression" dxfId="267" priority="421" stopIfTrue="1">
      <formula>P138&lt;V138</formula>
    </cfRule>
    <cfRule type="expression" dxfId="266" priority="422" stopIfTrue="1">
      <formula>P138&gt;V138</formula>
    </cfRule>
  </conditionalFormatting>
  <conditionalFormatting sqref="G139">
    <cfRule type="containsBlanks" priority="417" stopIfTrue="1">
      <formula>LEN(TRIM(G139))=0</formula>
    </cfRule>
  </conditionalFormatting>
  <conditionalFormatting sqref="G139">
    <cfRule type="expression" dxfId="265" priority="418" stopIfTrue="1">
      <formula>P139&lt;V139</formula>
    </cfRule>
    <cfRule type="expression" dxfId="264" priority="419" stopIfTrue="1">
      <formula>P139&gt;V139</formula>
    </cfRule>
  </conditionalFormatting>
  <conditionalFormatting sqref="G140">
    <cfRule type="containsBlanks" priority="414" stopIfTrue="1">
      <formula>LEN(TRIM(G140))=0</formula>
    </cfRule>
  </conditionalFormatting>
  <conditionalFormatting sqref="G140">
    <cfRule type="expression" dxfId="263" priority="415" stopIfTrue="1">
      <formula>P140&lt;V140</formula>
    </cfRule>
    <cfRule type="expression" dxfId="262" priority="416" stopIfTrue="1">
      <formula>P140&gt;V140</formula>
    </cfRule>
  </conditionalFormatting>
  <conditionalFormatting sqref="G141">
    <cfRule type="containsBlanks" priority="411" stopIfTrue="1">
      <formula>LEN(TRIM(G141))=0</formula>
    </cfRule>
  </conditionalFormatting>
  <conditionalFormatting sqref="G141">
    <cfRule type="expression" dxfId="261" priority="412" stopIfTrue="1">
      <formula>P141&lt;V141</formula>
    </cfRule>
    <cfRule type="expression" dxfId="260" priority="413" stopIfTrue="1">
      <formula>P141&gt;V141</formula>
    </cfRule>
  </conditionalFormatting>
  <conditionalFormatting sqref="G142">
    <cfRule type="containsBlanks" priority="408" stopIfTrue="1">
      <formula>LEN(TRIM(G142))=0</formula>
    </cfRule>
  </conditionalFormatting>
  <conditionalFormatting sqref="G142">
    <cfRule type="expression" dxfId="259" priority="409" stopIfTrue="1">
      <formula>P142&lt;V142</formula>
    </cfRule>
    <cfRule type="expression" dxfId="258" priority="410" stopIfTrue="1">
      <formula>P142&gt;V142</formula>
    </cfRule>
  </conditionalFormatting>
  <conditionalFormatting sqref="G143">
    <cfRule type="containsBlanks" priority="405" stopIfTrue="1">
      <formula>LEN(TRIM(G143))=0</formula>
    </cfRule>
  </conditionalFormatting>
  <conditionalFormatting sqref="G143">
    <cfRule type="expression" dxfId="257" priority="406" stopIfTrue="1">
      <formula>P143&lt;V143</formula>
    </cfRule>
    <cfRule type="expression" dxfId="256" priority="407" stopIfTrue="1">
      <formula>P143&gt;V143</formula>
    </cfRule>
  </conditionalFormatting>
  <conditionalFormatting sqref="G144">
    <cfRule type="containsBlanks" priority="402" stopIfTrue="1">
      <formula>LEN(TRIM(G144))=0</formula>
    </cfRule>
  </conditionalFormatting>
  <conditionalFormatting sqref="G144">
    <cfRule type="expression" dxfId="255" priority="403" stopIfTrue="1">
      <formula>P144&lt;V144</formula>
    </cfRule>
    <cfRule type="expression" dxfId="254" priority="404" stopIfTrue="1">
      <formula>P144&gt;V144</formula>
    </cfRule>
  </conditionalFormatting>
  <conditionalFormatting sqref="G145">
    <cfRule type="containsBlanks" priority="399" stopIfTrue="1">
      <formula>LEN(TRIM(G145))=0</formula>
    </cfRule>
  </conditionalFormatting>
  <conditionalFormatting sqref="G145">
    <cfRule type="expression" dxfId="253" priority="400" stopIfTrue="1">
      <formula>P145&lt;V145</formula>
    </cfRule>
    <cfRule type="expression" dxfId="252" priority="401" stopIfTrue="1">
      <formula>P145&gt;V145</formula>
    </cfRule>
  </conditionalFormatting>
  <conditionalFormatting sqref="G146">
    <cfRule type="containsBlanks" priority="396" stopIfTrue="1">
      <formula>LEN(TRIM(G146))=0</formula>
    </cfRule>
  </conditionalFormatting>
  <conditionalFormatting sqref="G146">
    <cfRule type="expression" dxfId="251" priority="397" stopIfTrue="1">
      <formula>P146&lt;V146</formula>
    </cfRule>
    <cfRule type="expression" dxfId="250" priority="398" stopIfTrue="1">
      <formula>P146&gt;V146</formula>
    </cfRule>
  </conditionalFormatting>
  <conditionalFormatting sqref="G147">
    <cfRule type="containsBlanks" priority="393" stopIfTrue="1">
      <formula>LEN(TRIM(G147))=0</formula>
    </cfRule>
  </conditionalFormatting>
  <conditionalFormatting sqref="G147">
    <cfRule type="expression" dxfId="249" priority="394" stopIfTrue="1">
      <formula>P147&lt;V147</formula>
    </cfRule>
    <cfRule type="expression" dxfId="248" priority="395" stopIfTrue="1">
      <formula>P147&gt;V147</formula>
    </cfRule>
  </conditionalFormatting>
  <conditionalFormatting sqref="G148">
    <cfRule type="containsBlanks" priority="390" stopIfTrue="1">
      <formula>LEN(TRIM(G148))=0</formula>
    </cfRule>
  </conditionalFormatting>
  <conditionalFormatting sqref="G148">
    <cfRule type="expression" dxfId="247" priority="391" stopIfTrue="1">
      <formula>P148&lt;V148</formula>
    </cfRule>
    <cfRule type="expression" dxfId="246" priority="392" stopIfTrue="1">
      <formula>P148&gt;V148</formula>
    </cfRule>
  </conditionalFormatting>
  <conditionalFormatting sqref="G149">
    <cfRule type="containsBlanks" priority="387" stopIfTrue="1">
      <formula>LEN(TRIM(G149))=0</formula>
    </cfRule>
  </conditionalFormatting>
  <conditionalFormatting sqref="G149">
    <cfRule type="expression" dxfId="245" priority="388" stopIfTrue="1">
      <formula>P149&lt;V149</formula>
    </cfRule>
    <cfRule type="expression" dxfId="244" priority="389" stopIfTrue="1">
      <formula>P149&gt;V149</formula>
    </cfRule>
  </conditionalFormatting>
  <conditionalFormatting sqref="G150">
    <cfRule type="containsBlanks" priority="384" stopIfTrue="1">
      <formula>LEN(TRIM(G150))=0</formula>
    </cfRule>
  </conditionalFormatting>
  <conditionalFormatting sqref="G150">
    <cfRule type="expression" dxfId="243" priority="385" stopIfTrue="1">
      <formula>P150&lt;V150</formula>
    </cfRule>
    <cfRule type="expression" dxfId="242" priority="386" stopIfTrue="1">
      <formula>P150&gt;V150</formula>
    </cfRule>
  </conditionalFormatting>
  <conditionalFormatting sqref="G151">
    <cfRule type="containsBlanks" priority="381" stopIfTrue="1">
      <formula>LEN(TRIM(G151))=0</formula>
    </cfRule>
  </conditionalFormatting>
  <conditionalFormatting sqref="G151">
    <cfRule type="expression" dxfId="241" priority="382" stopIfTrue="1">
      <formula>P151&lt;V151</formula>
    </cfRule>
    <cfRule type="expression" dxfId="240" priority="383" stopIfTrue="1">
      <formula>P151&gt;V151</formula>
    </cfRule>
  </conditionalFormatting>
  <conditionalFormatting sqref="G152">
    <cfRule type="containsBlanks" priority="378" stopIfTrue="1">
      <formula>LEN(TRIM(G152))=0</formula>
    </cfRule>
  </conditionalFormatting>
  <conditionalFormatting sqref="G152">
    <cfRule type="expression" dxfId="239" priority="379" stopIfTrue="1">
      <formula>P152&lt;V152</formula>
    </cfRule>
    <cfRule type="expression" dxfId="238" priority="380" stopIfTrue="1">
      <formula>P152&gt;V152</formula>
    </cfRule>
  </conditionalFormatting>
  <conditionalFormatting sqref="G153">
    <cfRule type="containsBlanks" priority="375" stopIfTrue="1">
      <formula>LEN(TRIM(G153))=0</formula>
    </cfRule>
  </conditionalFormatting>
  <conditionalFormatting sqref="G153">
    <cfRule type="expression" dxfId="237" priority="376" stopIfTrue="1">
      <formula>P153&lt;V153</formula>
    </cfRule>
    <cfRule type="expression" dxfId="236" priority="377" stopIfTrue="1">
      <formula>P153&gt;V153</formula>
    </cfRule>
  </conditionalFormatting>
  <conditionalFormatting sqref="G154">
    <cfRule type="containsBlanks" priority="372" stopIfTrue="1">
      <formula>LEN(TRIM(G154))=0</formula>
    </cfRule>
  </conditionalFormatting>
  <conditionalFormatting sqref="G154">
    <cfRule type="expression" dxfId="235" priority="373" stopIfTrue="1">
      <formula>P154&lt;V154</formula>
    </cfRule>
    <cfRule type="expression" dxfId="234" priority="374" stopIfTrue="1">
      <formula>P154&gt;V154</formula>
    </cfRule>
  </conditionalFormatting>
  <conditionalFormatting sqref="G155">
    <cfRule type="containsBlanks" priority="369" stopIfTrue="1">
      <formula>LEN(TRIM(G155))=0</formula>
    </cfRule>
  </conditionalFormatting>
  <conditionalFormatting sqref="G155">
    <cfRule type="expression" dxfId="233" priority="370" stopIfTrue="1">
      <formula>P155&lt;V155</formula>
    </cfRule>
    <cfRule type="expression" dxfId="232" priority="371" stopIfTrue="1">
      <formula>P155&gt;V155</formula>
    </cfRule>
  </conditionalFormatting>
  <conditionalFormatting sqref="G156">
    <cfRule type="containsBlanks" priority="366" stopIfTrue="1">
      <formula>LEN(TRIM(G156))=0</formula>
    </cfRule>
  </conditionalFormatting>
  <conditionalFormatting sqref="G156">
    <cfRule type="expression" dxfId="231" priority="367" stopIfTrue="1">
      <formula>P156&lt;V156</formula>
    </cfRule>
    <cfRule type="expression" dxfId="230" priority="368" stopIfTrue="1">
      <formula>P156&gt;V156</formula>
    </cfRule>
  </conditionalFormatting>
  <conditionalFormatting sqref="G157">
    <cfRule type="containsBlanks" priority="363" stopIfTrue="1">
      <formula>LEN(TRIM(G157))=0</formula>
    </cfRule>
  </conditionalFormatting>
  <conditionalFormatting sqref="G157">
    <cfRule type="expression" dxfId="229" priority="364" stopIfTrue="1">
      <formula>P157&lt;V157</formula>
    </cfRule>
    <cfRule type="expression" dxfId="228" priority="365" stopIfTrue="1">
      <formula>P157&gt;V157</formula>
    </cfRule>
  </conditionalFormatting>
  <conditionalFormatting sqref="G158">
    <cfRule type="containsBlanks" priority="360" stopIfTrue="1">
      <formula>LEN(TRIM(G158))=0</formula>
    </cfRule>
  </conditionalFormatting>
  <conditionalFormatting sqref="G158">
    <cfRule type="expression" dxfId="227" priority="361" stopIfTrue="1">
      <formula>P158&lt;V158</formula>
    </cfRule>
    <cfRule type="expression" dxfId="226" priority="362" stopIfTrue="1">
      <formula>P158&gt;V158</formula>
    </cfRule>
  </conditionalFormatting>
  <conditionalFormatting sqref="G159">
    <cfRule type="containsBlanks" priority="357" stopIfTrue="1">
      <formula>LEN(TRIM(G159))=0</formula>
    </cfRule>
  </conditionalFormatting>
  <conditionalFormatting sqref="G159">
    <cfRule type="expression" dxfId="225" priority="358" stopIfTrue="1">
      <formula>P159&lt;V159</formula>
    </cfRule>
    <cfRule type="expression" dxfId="224" priority="359" stopIfTrue="1">
      <formula>P159&gt;V159</formula>
    </cfRule>
  </conditionalFormatting>
  <conditionalFormatting sqref="G160">
    <cfRule type="containsBlanks" priority="354" stopIfTrue="1">
      <formula>LEN(TRIM(G160))=0</formula>
    </cfRule>
  </conditionalFormatting>
  <conditionalFormatting sqref="G160">
    <cfRule type="expression" dxfId="223" priority="355" stopIfTrue="1">
      <formula>P160&lt;V160</formula>
    </cfRule>
    <cfRule type="expression" dxfId="222" priority="356" stopIfTrue="1">
      <formula>P160&gt;V160</formula>
    </cfRule>
  </conditionalFormatting>
  <conditionalFormatting sqref="G161">
    <cfRule type="containsBlanks" priority="351" stopIfTrue="1">
      <formula>LEN(TRIM(G161))=0</formula>
    </cfRule>
  </conditionalFormatting>
  <conditionalFormatting sqref="G161">
    <cfRule type="expression" dxfId="221" priority="352" stopIfTrue="1">
      <formula>P161&lt;V161</formula>
    </cfRule>
    <cfRule type="expression" dxfId="220" priority="353" stopIfTrue="1">
      <formula>P161&gt;V161</formula>
    </cfRule>
  </conditionalFormatting>
  <conditionalFormatting sqref="G162">
    <cfRule type="containsBlanks" priority="348" stopIfTrue="1">
      <formula>LEN(TRIM(G162))=0</formula>
    </cfRule>
  </conditionalFormatting>
  <conditionalFormatting sqref="G162">
    <cfRule type="expression" dxfId="219" priority="349" stopIfTrue="1">
      <formula>P162&lt;V162</formula>
    </cfRule>
    <cfRule type="expression" dxfId="218" priority="350" stopIfTrue="1">
      <formula>P162&gt;V162</formula>
    </cfRule>
  </conditionalFormatting>
  <conditionalFormatting sqref="G163">
    <cfRule type="containsBlanks" priority="345" stopIfTrue="1">
      <formula>LEN(TRIM(G163))=0</formula>
    </cfRule>
  </conditionalFormatting>
  <conditionalFormatting sqref="G163">
    <cfRule type="expression" dxfId="217" priority="346" stopIfTrue="1">
      <formula>P163&lt;V163</formula>
    </cfRule>
    <cfRule type="expression" dxfId="216" priority="347" stopIfTrue="1">
      <formula>P163&gt;V163</formula>
    </cfRule>
  </conditionalFormatting>
  <conditionalFormatting sqref="G165">
    <cfRule type="containsBlanks" priority="342" stopIfTrue="1">
      <formula>LEN(TRIM(G165))=0</formula>
    </cfRule>
  </conditionalFormatting>
  <conditionalFormatting sqref="G165">
    <cfRule type="expression" dxfId="215" priority="343" stopIfTrue="1">
      <formula>P165&lt;V165</formula>
    </cfRule>
    <cfRule type="expression" dxfId="214" priority="344" stopIfTrue="1">
      <formula>P165&gt;V165</formula>
    </cfRule>
  </conditionalFormatting>
  <conditionalFormatting sqref="G164">
    <cfRule type="containsBlanks" priority="339" stopIfTrue="1">
      <formula>LEN(TRIM(G164))=0</formula>
    </cfRule>
  </conditionalFormatting>
  <conditionalFormatting sqref="G164">
    <cfRule type="expression" dxfId="213" priority="340" stopIfTrue="1">
      <formula>P164&lt;V164</formula>
    </cfRule>
    <cfRule type="expression" dxfId="212" priority="341" stopIfTrue="1">
      <formula>P164&gt;V164</formula>
    </cfRule>
  </conditionalFormatting>
  <conditionalFormatting sqref="G166">
    <cfRule type="containsBlanks" priority="336" stopIfTrue="1">
      <formula>LEN(TRIM(G166))=0</formula>
    </cfRule>
  </conditionalFormatting>
  <conditionalFormatting sqref="G166">
    <cfRule type="expression" dxfId="211" priority="337" stopIfTrue="1">
      <formula>P166&lt;V166</formula>
    </cfRule>
    <cfRule type="expression" dxfId="210" priority="338" stopIfTrue="1">
      <formula>P166&gt;V166</formula>
    </cfRule>
  </conditionalFormatting>
  <conditionalFormatting sqref="G167">
    <cfRule type="containsBlanks" priority="327" stopIfTrue="1">
      <formula>LEN(TRIM(G167))=0</formula>
    </cfRule>
  </conditionalFormatting>
  <conditionalFormatting sqref="G167">
    <cfRule type="expression" dxfId="209" priority="328" stopIfTrue="1">
      <formula>P167&lt;V167</formula>
    </cfRule>
    <cfRule type="expression" dxfId="208" priority="329" stopIfTrue="1">
      <formula>P167&gt;V167</formula>
    </cfRule>
  </conditionalFormatting>
  <conditionalFormatting sqref="G168">
    <cfRule type="containsBlanks" priority="324" stopIfTrue="1">
      <formula>LEN(TRIM(G168))=0</formula>
    </cfRule>
  </conditionalFormatting>
  <conditionalFormatting sqref="G168">
    <cfRule type="expression" dxfId="207" priority="325" stopIfTrue="1">
      <formula>P168&lt;V168</formula>
    </cfRule>
    <cfRule type="expression" dxfId="206" priority="326" stopIfTrue="1">
      <formula>P168&gt;V168</formula>
    </cfRule>
  </conditionalFormatting>
  <conditionalFormatting sqref="G169">
    <cfRule type="containsBlanks" priority="321" stopIfTrue="1">
      <formula>LEN(TRIM(G169))=0</formula>
    </cfRule>
  </conditionalFormatting>
  <conditionalFormatting sqref="G169">
    <cfRule type="expression" dxfId="205" priority="322" stopIfTrue="1">
      <formula>P169&lt;V169</formula>
    </cfRule>
    <cfRule type="expression" dxfId="204" priority="323" stopIfTrue="1">
      <formula>P169&gt;V169</formula>
    </cfRule>
  </conditionalFormatting>
  <conditionalFormatting sqref="G170">
    <cfRule type="containsBlanks" priority="318" stopIfTrue="1">
      <formula>LEN(TRIM(G170))=0</formula>
    </cfRule>
  </conditionalFormatting>
  <conditionalFormatting sqref="G170">
    <cfRule type="expression" dxfId="203" priority="319" stopIfTrue="1">
      <formula>P170&lt;V170</formula>
    </cfRule>
    <cfRule type="expression" dxfId="202" priority="320" stopIfTrue="1">
      <formula>P170&gt;V170</formula>
    </cfRule>
  </conditionalFormatting>
  <conditionalFormatting sqref="G171">
    <cfRule type="containsBlanks" priority="315" stopIfTrue="1">
      <formula>LEN(TRIM(G171))=0</formula>
    </cfRule>
  </conditionalFormatting>
  <conditionalFormatting sqref="G171">
    <cfRule type="expression" dxfId="201" priority="316" stopIfTrue="1">
      <formula>P171&lt;V171</formula>
    </cfRule>
    <cfRule type="expression" dxfId="200" priority="317" stopIfTrue="1">
      <formula>P171&gt;V171</formula>
    </cfRule>
  </conditionalFormatting>
  <conditionalFormatting sqref="G172">
    <cfRule type="containsBlanks" priority="312" stopIfTrue="1">
      <formula>LEN(TRIM(G172))=0</formula>
    </cfRule>
  </conditionalFormatting>
  <conditionalFormatting sqref="G172">
    <cfRule type="expression" dxfId="199" priority="313" stopIfTrue="1">
      <formula>P172&lt;V172</formula>
    </cfRule>
    <cfRule type="expression" dxfId="198" priority="314" stopIfTrue="1">
      <formula>P172&gt;V172</formula>
    </cfRule>
  </conditionalFormatting>
  <conditionalFormatting sqref="G173">
    <cfRule type="containsBlanks" priority="309" stopIfTrue="1">
      <formula>LEN(TRIM(G173))=0</formula>
    </cfRule>
  </conditionalFormatting>
  <conditionalFormatting sqref="G173">
    <cfRule type="expression" dxfId="197" priority="310" stopIfTrue="1">
      <formula>P173&lt;V173</formula>
    </cfRule>
    <cfRule type="expression" dxfId="196" priority="311" stopIfTrue="1">
      <formula>P173&gt;V173</formula>
    </cfRule>
  </conditionalFormatting>
  <conditionalFormatting sqref="G174">
    <cfRule type="containsBlanks" priority="306" stopIfTrue="1">
      <formula>LEN(TRIM(G174))=0</formula>
    </cfRule>
  </conditionalFormatting>
  <conditionalFormatting sqref="G174">
    <cfRule type="expression" dxfId="195" priority="307" stopIfTrue="1">
      <formula>P174&lt;V174</formula>
    </cfRule>
    <cfRule type="expression" dxfId="194" priority="308" stopIfTrue="1">
      <formula>P174&gt;V174</formula>
    </cfRule>
  </conditionalFormatting>
  <conditionalFormatting sqref="G175">
    <cfRule type="containsBlanks" priority="303" stopIfTrue="1">
      <formula>LEN(TRIM(G175))=0</formula>
    </cfRule>
  </conditionalFormatting>
  <conditionalFormatting sqref="G175">
    <cfRule type="expression" dxfId="193" priority="304" stopIfTrue="1">
      <formula>P175&lt;V175</formula>
    </cfRule>
    <cfRule type="expression" dxfId="192" priority="305" stopIfTrue="1">
      <formula>P175&gt;V175</formula>
    </cfRule>
  </conditionalFormatting>
  <conditionalFormatting sqref="G176">
    <cfRule type="containsBlanks" priority="300" stopIfTrue="1">
      <formula>LEN(TRIM(G176))=0</formula>
    </cfRule>
  </conditionalFormatting>
  <conditionalFormatting sqref="G176">
    <cfRule type="expression" dxfId="191" priority="301" stopIfTrue="1">
      <formula>P176&lt;V176</formula>
    </cfRule>
    <cfRule type="expression" dxfId="190" priority="302" stopIfTrue="1">
      <formula>P176&gt;V176</formula>
    </cfRule>
  </conditionalFormatting>
  <conditionalFormatting sqref="G177">
    <cfRule type="containsBlanks" priority="297" stopIfTrue="1">
      <formula>LEN(TRIM(G177))=0</formula>
    </cfRule>
  </conditionalFormatting>
  <conditionalFormatting sqref="G177">
    <cfRule type="expression" dxfId="189" priority="298" stopIfTrue="1">
      <formula>P177&lt;V177</formula>
    </cfRule>
    <cfRule type="expression" dxfId="188" priority="299" stopIfTrue="1">
      <formula>P177&gt;V177</formula>
    </cfRule>
  </conditionalFormatting>
  <conditionalFormatting sqref="G178">
    <cfRule type="containsBlanks" priority="294" stopIfTrue="1">
      <formula>LEN(TRIM(G178))=0</formula>
    </cfRule>
  </conditionalFormatting>
  <conditionalFormatting sqref="G178">
    <cfRule type="expression" dxfId="187" priority="295" stopIfTrue="1">
      <formula>P178&lt;V178</formula>
    </cfRule>
    <cfRule type="expression" dxfId="186" priority="296" stopIfTrue="1">
      <formula>P178&gt;V178</formula>
    </cfRule>
  </conditionalFormatting>
  <conditionalFormatting sqref="G179">
    <cfRule type="containsBlanks" priority="291" stopIfTrue="1">
      <formula>LEN(TRIM(G179))=0</formula>
    </cfRule>
  </conditionalFormatting>
  <conditionalFormatting sqref="G179">
    <cfRule type="expression" dxfId="185" priority="292" stopIfTrue="1">
      <formula>P179&lt;V179</formula>
    </cfRule>
    <cfRule type="expression" dxfId="184" priority="293" stopIfTrue="1">
      <formula>P179&gt;V179</formula>
    </cfRule>
  </conditionalFormatting>
  <conditionalFormatting sqref="G180">
    <cfRule type="containsBlanks" priority="288" stopIfTrue="1">
      <formula>LEN(TRIM(G180))=0</formula>
    </cfRule>
  </conditionalFormatting>
  <conditionalFormatting sqref="G180">
    <cfRule type="expression" dxfId="183" priority="289" stopIfTrue="1">
      <formula>P180&lt;V180</formula>
    </cfRule>
    <cfRule type="expression" dxfId="182" priority="290" stopIfTrue="1">
      <formula>P180&gt;V180</formula>
    </cfRule>
  </conditionalFormatting>
  <conditionalFormatting sqref="G181">
    <cfRule type="containsBlanks" priority="285" stopIfTrue="1">
      <formula>LEN(TRIM(G181))=0</formula>
    </cfRule>
  </conditionalFormatting>
  <conditionalFormatting sqref="G181">
    <cfRule type="expression" dxfId="181" priority="286" stopIfTrue="1">
      <formula>P181&lt;V181</formula>
    </cfRule>
    <cfRule type="expression" dxfId="180" priority="287" stopIfTrue="1">
      <formula>P181&gt;V181</formula>
    </cfRule>
  </conditionalFormatting>
  <conditionalFormatting sqref="G182">
    <cfRule type="containsBlanks" priority="282" stopIfTrue="1">
      <formula>LEN(TRIM(G182))=0</formula>
    </cfRule>
  </conditionalFormatting>
  <conditionalFormatting sqref="G182">
    <cfRule type="expression" dxfId="179" priority="283" stopIfTrue="1">
      <formula>P182&lt;V182</formula>
    </cfRule>
    <cfRule type="expression" dxfId="178" priority="284" stopIfTrue="1">
      <formula>P182&gt;V182</formula>
    </cfRule>
  </conditionalFormatting>
  <conditionalFormatting sqref="G183">
    <cfRule type="containsBlanks" priority="279" stopIfTrue="1">
      <formula>LEN(TRIM(G183))=0</formula>
    </cfRule>
  </conditionalFormatting>
  <conditionalFormatting sqref="G183">
    <cfRule type="expression" dxfId="177" priority="280" stopIfTrue="1">
      <formula>P183&lt;V183</formula>
    </cfRule>
    <cfRule type="expression" dxfId="176" priority="281" stopIfTrue="1">
      <formula>P183&gt;V183</formula>
    </cfRule>
  </conditionalFormatting>
  <conditionalFormatting sqref="G184">
    <cfRule type="containsBlanks" priority="276" stopIfTrue="1">
      <formula>LEN(TRIM(G184))=0</formula>
    </cfRule>
  </conditionalFormatting>
  <conditionalFormatting sqref="G184">
    <cfRule type="expression" dxfId="175" priority="277" stopIfTrue="1">
      <formula>P184&lt;V184</formula>
    </cfRule>
    <cfRule type="expression" dxfId="174" priority="278" stopIfTrue="1">
      <formula>P184&gt;V184</formula>
    </cfRule>
  </conditionalFormatting>
  <conditionalFormatting sqref="G185">
    <cfRule type="containsBlanks" priority="273" stopIfTrue="1">
      <formula>LEN(TRIM(G185))=0</formula>
    </cfRule>
  </conditionalFormatting>
  <conditionalFormatting sqref="G185">
    <cfRule type="expression" dxfId="173" priority="274" stopIfTrue="1">
      <formula>P185&lt;V185</formula>
    </cfRule>
    <cfRule type="expression" dxfId="172" priority="275" stopIfTrue="1">
      <formula>P185&gt;V185</formula>
    </cfRule>
  </conditionalFormatting>
  <conditionalFormatting sqref="G186">
    <cfRule type="containsBlanks" priority="270" stopIfTrue="1">
      <formula>LEN(TRIM(G186))=0</formula>
    </cfRule>
  </conditionalFormatting>
  <conditionalFormatting sqref="G186">
    <cfRule type="expression" dxfId="171" priority="271" stopIfTrue="1">
      <formula>P186&lt;V186</formula>
    </cfRule>
    <cfRule type="expression" dxfId="170" priority="272" stopIfTrue="1">
      <formula>P186&gt;V186</formula>
    </cfRule>
  </conditionalFormatting>
  <conditionalFormatting sqref="G187">
    <cfRule type="containsBlanks" priority="267" stopIfTrue="1">
      <formula>LEN(TRIM(G187))=0</formula>
    </cfRule>
  </conditionalFormatting>
  <conditionalFormatting sqref="G187">
    <cfRule type="expression" dxfId="169" priority="268" stopIfTrue="1">
      <formula>P187&lt;V187</formula>
    </cfRule>
    <cfRule type="expression" dxfId="168" priority="269" stopIfTrue="1">
      <formula>P187&gt;V187</formula>
    </cfRule>
  </conditionalFormatting>
  <conditionalFormatting sqref="G188">
    <cfRule type="containsBlanks" priority="264" stopIfTrue="1">
      <formula>LEN(TRIM(G188))=0</formula>
    </cfRule>
  </conditionalFormatting>
  <conditionalFormatting sqref="G188">
    <cfRule type="expression" dxfId="167" priority="265" stopIfTrue="1">
      <formula>P188&lt;V188</formula>
    </cfRule>
    <cfRule type="expression" dxfId="166" priority="266" stopIfTrue="1">
      <formula>P188&gt;V188</formula>
    </cfRule>
  </conditionalFormatting>
  <conditionalFormatting sqref="G189">
    <cfRule type="containsBlanks" priority="261" stopIfTrue="1">
      <formula>LEN(TRIM(G189))=0</formula>
    </cfRule>
  </conditionalFormatting>
  <conditionalFormatting sqref="G189">
    <cfRule type="expression" dxfId="165" priority="262" stopIfTrue="1">
      <formula>P189&lt;V189</formula>
    </cfRule>
    <cfRule type="expression" dxfId="164" priority="263" stopIfTrue="1">
      <formula>P189&gt;V189</formula>
    </cfRule>
  </conditionalFormatting>
  <conditionalFormatting sqref="G190">
    <cfRule type="containsBlanks" priority="258" stopIfTrue="1">
      <formula>LEN(TRIM(G190))=0</formula>
    </cfRule>
  </conditionalFormatting>
  <conditionalFormatting sqref="G190">
    <cfRule type="expression" dxfId="163" priority="259" stopIfTrue="1">
      <formula>P190&lt;V190</formula>
    </cfRule>
    <cfRule type="expression" dxfId="162" priority="260" stopIfTrue="1">
      <formula>P190&gt;V190</formula>
    </cfRule>
  </conditionalFormatting>
  <conditionalFormatting sqref="G191">
    <cfRule type="containsBlanks" priority="255" stopIfTrue="1">
      <formula>LEN(TRIM(G191))=0</formula>
    </cfRule>
  </conditionalFormatting>
  <conditionalFormatting sqref="G191">
    <cfRule type="expression" dxfId="161" priority="256" stopIfTrue="1">
      <formula>P191&lt;V191</formula>
    </cfRule>
    <cfRule type="expression" dxfId="160" priority="257" stopIfTrue="1">
      <formula>P191&gt;V191</formula>
    </cfRule>
  </conditionalFormatting>
  <conditionalFormatting sqref="G192">
    <cfRule type="containsBlanks" priority="252" stopIfTrue="1">
      <formula>LEN(TRIM(G192))=0</formula>
    </cfRule>
  </conditionalFormatting>
  <conditionalFormatting sqref="G192">
    <cfRule type="expression" dxfId="159" priority="253" stopIfTrue="1">
      <formula>P192&lt;V192</formula>
    </cfRule>
    <cfRule type="expression" dxfId="158" priority="254" stopIfTrue="1">
      <formula>P192&gt;V192</formula>
    </cfRule>
  </conditionalFormatting>
  <conditionalFormatting sqref="G193">
    <cfRule type="containsBlanks" priority="246" stopIfTrue="1">
      <formula>LEN(TRIM(G193))=0</formula>
    </cfRule>
  </conditionalFormatting>
  <conditionalFormatting sqref="G193">
    <cfRule type="expression" dxfId="157" priority="247" stopIfTrue="1">
      <formula>P193&lt;V193</formula>
    </cfRule>
    <cfRule type="expression" dxfId="156" priority="248" stopIfTrue="1">
      <formula>P193&gt;V193</formula>
    </cfRule>
  </conditionalFormatting>
  <conditionalFormatting sqref="G194">
    <cfRule type="containsBlanks" priority="243" stopIfTrue="1">
      <formula>LEN(TRIM(G194))=0</formula>
    </cfRule>
  </conditionalFormatting>
  <conditionalFormatting sqref="G194">
    <cfRule type="expression" dxfId="155" priority="244" stopIfTrue="1">
      <formula>P194&lt;V194</formula>
    </cfRule>
    <cfRule type="expression" dxfId="154" priority="245" stopIfTrue="1">
      <formula>P194&gt;V194</formula>
    </cfRule>
  </conditionalFormatting>
  <conditionalFormatting sqref="G195">
    <cfRule type="containsBlanks" priority="240" stopIfTrue="1">
      <formula>LEN(TRIM(G195))=0</formula>
    </cfRule>
  </conditionalFormatting>
  <conditionalFormatting sqref="G195">
    <cfRule type="expression" dxfId="153" priority="241" stopIfTrue="1">
      <formula>P195&lt;V195</formula>
    </cfRule>
    <cfRule type="expression" dxfId="152" priority="242" stopIfTrue="1">
      <formula>P195&gt;V195</formula>
    </cfRule>
  </conditionalFormatting>
  <conditionalFormatting sqref="G196">
    <cfRule type="containsBlanks" priority="237" stopIfTrue="1">
      <formula>LEN(TRIM(G196))=0</formula>
    </cfRule>
  </conditionalFormatting>
  <conditionalFormatting sqref="G196">
    <cfRule type="expression" dxfId="151" priority="238" stopIfTrue="1">
      <formula>P196&lt;V196</formula>
    </cfRule>
    <cfRule type="expression" dxfId="150" priority="239" stopIfTrue="1">
      <formula>P196&gt;V196</formula>
    </cfRule>
  </conditionalFormatting>
  <conditionalFormatting sqref="G197">
    <cfRule type="containsBlanks" priority="234" stopIfTrue="1">
      <formula>LEN(TRIM(G197))=0</formula>
    </cfRule>
  </conditionalFormatting>
  <conditionalFormatting sqref="G197">
    <cfRule type="expression" dxfId="149" priority="235" stopIfTrue="1">
      <formula>P197&lt;V197</formula>
    </cfRule>
    <cfRule type="expression" dxfId="148" priority="236" stopIfTrue="1">
      <formula>P197&gt;V197</formula>
    </cfRule>
  </conditionalFormatting>
  <conditionalFormatting sqref="G199">
    <cfRule type="containsBlanks" priority="228" stopIfTrue="1">
      <formula>LEN(TRIM(G199))=0</formula>
    </cfRule>
  </conditionalFormatting>
  <conditionalFormatting sqref="G199">
    <cfRule type="expression" dxfId="147" priority="229" stopIfTrue="1">
      <formula>P199&lt;V199</formula>
    </cfRule>
    <cfRule type="expression" dxfId="146" priority="230" stopIfTrue="1">
      <formula>P199&gt;V199</formula>
    </cfRule>
  </conditionalFormatting>
  <conditionalFormatting sqref="G200">
    <cfRule type="containsBlanks" priority="225" stopIfTrue="1">
      <formula>LEN(TRIM(G200))=0</formula>
    </cfRule>
  </conditionalFormatting>
  <conditionalFormatting sqref="G200">
    <cfRule type="expression" dxfId="145" priority="226" stopIfTrue="1">
      <formula>P200&lt;V200</formula>
    </cfRule>
    <cfRule type="expression" dxfId="144" priority="227" stopIfTrue="1">
      <formula>P200&gt;V200</formula>
    </cfRule>
  </conditionalFormatting>
  <conditionalFormatting sqref="G201">
    <cfRule type="containsBlanks" priority="222" stopIfTrue="1">
      <formula>LEN(TRIM(G201))=0</formula>
    </cfRule>
  </conditionalFormatting>
  <conditionalFormatting sqref="G201">
    <cfRule type="expression" dxfId="143" priority="223" stopIfTrue="1">
      <formula>P201&lt;V201</formula>
    </cfRule>
    <cfRule type="expression" dxfId="142" priority="224" stopIfTrue="1">
      <formula>P201&gt;V201</formula>
    </cfRule>
  </conditionalFormatting>
  <conditionalFormatting sqref="G202">
    <cfRule type="containsBlanks" priority="219" stopIfTrue="1">
      <formula>LEN(TRIM(G202))=0</formula>
    </cfRule>
  </conditionalFormatting>
  <conditionalFormatting sqref="G202">
    <cfRule type="expression" dxfId="141" priority="220" stopIfTrue="1">
      <formula>P202&lt;V202</formula>
    </cfRule>
    <cfRule type="expression" dxfId="140" priority="221" stopIfTrue="1">
      <formula>P202&gt;V202</formula>
    </cfRule>
  </conditionalFormatting>
  <conditionalFormatting sqref="G203">
    <cfRule type="containsBlanks" priority="216" stopIfTrue="1">
      <formula>LEN(TRIM(G203))=0</formula>
    </cfRule>
  </conditionalFormatting>
  <conditionalFormatting sqref="G203">
    <cfRule type="expression" dxfId="139" priority="217" stopIfTrue="1">
      <formula>P203&lt;V203</formula>
    </cfRule>
    <cfRule type="expression" dxfId="138" priority="218" stopIfTrue="1">
      <formula>P203&gt;V203</formula>
    </cfRule>
  </conditionalFormatting>
  <conditionalFormatting sqref="G204">
    <cfRule type="containsBlanks" priority="213" stopIfTrue="1">
      <formula>LEN(TRIM(G204))=0</formula>
    </cfRule>
  </conditionalFormatting>
  <conditionalFormatting sqref="G204">
    <cfRule type="expression" dxfId="137" priority="214" stopIfTrue="1">
      <formula>P204&lt;V204</formula>
    </cfRule>
    <cfRule type="expression" dxfId="136" priority="215" stopIfTrue="1">
      <formula>P204&gt;V204</formula>
    </cfRule>
  </conditionalFormatting>
  <conditionalFormatting sqref="G205">
    <cfRule type="containsBlanks" priority="207" stopIfTrue="1">
      <formula>LEN(TRIM(G205))=0</formula>
    </cfRule>
  </conditionalFormatting>
  <conditionalFormatting sqref="G205">
    <cfRule type="expression" dxfId="135" priority="208" stopIfTrue="1">
      <formula>P205&lt;V205</formula>
    </cfRule>
    <cfRule type="expression" dxfId="134" priority="209" stopIfTrue="1">
      <formula>P205&gt;V205</formula>
    </cfRule>
  </conditionalFormatting>
  <conditionalFormatting sqref="G206">
    <cfRule type="containsBlanks" priority="201" stopIfTrue="1">
      <formula>LEN(TRIM(G206))=0</formula>
    </cfRule>
  </conditionalFormatting>
  <conditionalFormatting sqref="G206">
    <cfRule type="expression" dxfId="133" priority="202" stopIfTrue="1">
      <formula>P206&lt;V206</formula>
    </cfRule>
    <cfRule type="expression" dxfId="132" priority="203" stopIfTrue="1">
      <formula>P206&gt;V206</formula>
    </cfRule>
  </conditionalFormatting>
  <conditionalFormatting sqref="G198">
    <cfRule type="containsBlanks" priority="198" stopIfTrue="1">
      <formula>LEN(TRIM(G198))=0</formula>
    </cfRule>
  </conditionalFormatting>
  <conditionalFormatting sqref="G198">
    <cfRule type="expression" dxfId="131" priority="199" stopIfTrue="1">
      <formula>P198&lt;V198</formula>
    </cfRule>
    <cfRule type="expression" dxfId="130" priority="200" stopIfTrue="1">
      <formula>P198&gt;V198</formula>
    </cfRule>
  </conditionalFormatting>
  <conditionalFormatting sqref="G207">
    <cfRule type="containsBlanks" priority="195" stopIfTrue="1">
      <formula>LEN(TRIM(G207))=0</formula>
    </cfRule>
  </conditionalFormatting>
  <conditionalFormatting sqref="G207">
    <cfRule type="expression" dxfId="129" priority="196" stopIfTrue="1">
      <formula>P207&lt;V207</formula>
    </cfRule>
    <cfRule type="expression" dxfId="128" priority="197" stopIfTrue="1">
      <formula>P207&gt;V207</formula>
    </cfRule>
  </conditionalFormatting>
  <conditionalFormatting sqref="G208">
    <cfRule type="containsBlanks" priority="192" stopIfTrue="1">
      <formula>LEN(TRIM(G208))=0</formula>
    </cfRule>
  </conditionalFormatting>
  <conditionalFormatting sqref="G208">
    <cfRule type="expression" dxfId="127" priority="193" stopIfTrue="1">
      <formula>P208&lt;V208</formula>
    </cfRule>
    <cfRule type="expression" dxfId="126" priority="194" stopIfTrue="1">
      <formula>P208&gt;V208</formula>
    </cfRule>
  </conditionalFormatting>
  <conditionalFormatting sqref="G209">
    <cfRule type="containsBlanks" priority="186" stopIfTrue="1">
      <formula>LEN(TRIM(G209))=0</formula>
    </cfRule>
  </conditionalFormatting>
  <conditionalFormatting sqref="G209">
    <cfRule type="expression" dxfId="125" priority="187" stopIfTrue="1">
      <formula>P209&lt;V209</formula>
    </cfRule>
    <cfRule type="expression" dxfId="124" priority="188" stopIfTrue="1">
      <formula>P209&gt;V209</formula>
    </cfRule>
  </conditionalFormatting>
  <conditionalFormatting sqref="G210">
    <cfRule type="containsBlanks" priority="183" stopIfTrue="1">
      <formula>LEN(TRIM(G210))=0</formula>
    </cfRule>
  </conditionalFormatting>
  <conditionalFormatting sqref="G210">
    <cfRule type="expression" dxfId="123" priority="184" stopIfTrue="1">
      <formula>P210&lt;V210</formula>
    </cfRule>
    <cfRule type="expression" dxfId="122" priority="185" stopIfTrue="1">
      <formula>P210&gt;V210</formula>
    </cfRule>
  </conditionalFormatting>
  <conditionalFormatting sqref="G211">
    <cfRule type="containsBlanks" priority="177" stopIfTrue="1">
      <formula>LEN(TRIM(G211))=0</formula>
    </cfRule>
  </conditionalFormatting>
  <conditionalFormatting sqref="G211">
    <cfRule type="expression" dxfId="121" priority="178" stopIfTrue="1">
      <formula>P211&lt;V211</formula>
    </cfRule>
    <cfRule type="expression" dxfId="120" priority="179" stopIfTrue="1">
      <formula>P211&gt;V211</formula>
    </cfRule>
  </conditionalFormatting>
  <conditionalFormatting sqref="G212">
    <cfRule type="containsBlanks" priority="171" stopIfTrue="1">
      <formula>LEN(TRIM(G212))=0</formula>
    </cfRule>
  </conditionalFormatting>
  <conditionalFormatting sqref="G212">
    <cfRule type="expression" dxfId="119" priority="172" stopIfTrue="1">
      <formula>P212&lt;V212</formula>
    </cfRule>
    <cfRule type="expression" dxfId="118" priority="173" stopIfTrue="1">
      <formula>P212&gt;V212</formula>
    </cfRule>
  </conditionalFormatting>
  <conditionalFormatting sqref="G213">
    <cfRule type="containsBlanks" priority="168" stopIfTrue="1">
      <formula>LEN(TRIM(G213))=0</formula>
    </cfRule>
  </conditionalFormatting>
  <conditionalFormatting sqref="G213">
    <cfRule type="expression" dxfId="117" priority="169" stopIfTrue="1">
      <formula>P213&lt;V213</formula>
    </cfRule>
    <cfRule type="expression" dxfId="116" priority="170" stopIfTrue="1">
      <formula>P213&gt;V213</formula>
    </cfRule>
  </conditionalFormatting>
  <conditionalFormatting sqref="G214">
    <cfRule type="containsBlanks" priority="165" stopIfTrue="1">
      <formula>LEN(TRIM(G214))=0</formula>
    </cfRule>
  </conditionalFormatting>
  <conditionalFormatting sqref="G214">
    <cfRule type="expression" dxfId="115" priority="166" stopIfTrue="1">
      <formula>P214&lt;V214</formula>
    </cfRule>
    <cfRule type="expression" dxfId="114" priority="167" stopIfTrue="1">
      <formula>P214&gt;V214</formula>
    </cfRule>
  </conditionalFormatting>
  <conditionalFormatting sqref="G95">
    <cfRule type="containsBlanks" priority="151" stopIfTrue="1">
      <formula>LEN(TRIM(G95))=0</formula>
    </cfRule>
  </conditionalFormatting>
  <conditionalFormatting sqref="G95">
    <cfRule type="expression" dxfId="113" priority="152" stopIfTrue="1">
      <formula>P95&lt;V95</formula>
    </cfRule>
    <cfRule type="expression" dxfId="112" priority="153" stopIfTrue="1">
      <formula>P95&gt;V95</formula>
    </cfRule>
  </conditionalFormatting>
  <conditionalFormatting sqref="G49">
    <cfRule type="containsBlanks" priority="125" stopIfTrue="1">
      <formula>LEN(TRIM(G49))=0</formula>
    </cfRule>
  </conditionalFormatting>
  <conditionalFormatting sqref="G49">
    <cfRule type="expression" dxfId="111" priority="126" stopIfTrue="1">
      <formula>P49&lt;V49</formula>
    </cfRule>
    <cfRule type="expression" dxfId="110" priority="127" stopIfTrue="1">
      <formula>P49&gt;V49</formula>
    </cfRule>
  </conditionalFormatting>
  <conditionalFormatting sqref="G12">
    <cfRule type="expression" dxfId="109" priority="117" stopIfTrue="1">
      <formula>P12&lt;V12</formula>
    </cfRule>
    <cfRule type="expression" dxfId="108" priority="118" stopIfTrue="1">
      <formula>P12&gt;V12</formula>
    </cfRule>
  </conditionalFormatting>
  <conditionalFormatting sqref="G215">
    <cfRule type="expression" dxfId="107" priority="99" stopIfTrue="1">
      <formula>P215&lt;V215</formula>
    </cfRule>
    <cfRule type="expression" dxfId="106" priority="100" stopIfTrue="1">
      <formula>P215&gt;V215</formula>
    </cfRule>
  </conditionalFormatting>
  <conditionalFormatting sqref="G216">
    <cfRule type="expression" dxfId="105" priority="93" stopIfTrue="1">
      <formula>P216&lt;V216</formula>
    </cfRule>
    <cfRule type="expression" dxfId="104" priority="96" stopIfTrue="1">
      <formula>P216&gt;V216</formula>
    </cfRule>
  </conditionalFormatting>
  <conditionalFormatting sqref="G217">
    <cfRule type="expression" dxfId="103" priority="92" stopIfTrue="1">
      <formula>P217&lt;V217</formula>
    </cfRule>
    <cfRule type="expression" dxfId="102" priority="94" stopIfTrue="1">
      <formula>P217&gt;V217</formula>
    </cfRule>
  </conditionalFormatting>
  <conditionalFormatting sqref="G218">
    <cfRule type="expression" dxfId="101" priority="90" stopIfTrue="1">
      <formula>P218&gt;V218</formula>
    </cfRule>
    <cfRule type="expression" dxfId="100" priority="91" stopIfTrue="1">
      <formula>P218&lt;V218</formula>
    </cfRule>
  </conditionalFormatting>
  <conditionalFormatting sqref="G219">
    <cfRule type="expression" dxfId="99" priority="88" stopIfTrue="1">
      <formula>P219&gt;V219</formula>
    </cfRule>
    <cfRule type="expression" dxfId="98" priority="89" stopIfTrue="1">
      <formula>P219&lt;V219</formula>
    </cfRule>
  </conditionalFormatting>
  <conditionalFormatting sqref="G222">
    <cfRule type="expression" dxfId="97" priority="86" stopIfTrue="1">
      <formula>P222&gt;V222</formula>
    </cfRule>
    <cfRule type="expression" dxfId="96" priority="87" stopIfTrue="1">
      <formula>P222&lt;V222</formula>
    </cfRule>
  </conditionalFormatting>
  <conditionalFormatting sqref="G220">
    <cfRule type="expression" dxfId="95" priority="84" stopIfTrue="1">
      <formula>P220&lt;V220</formula>
    </cfRule>
    <cfRule type="expression" dxfId="94" priority="85" stopIfTrue="1">
      <formula>P220&gt;V220</formula>
    </cfRule>
  </conditionalFormatting>
  <conditionalFormatting sqref="G221">
    <cfRule type="containsBlanks" priority="81" stopIfTrue="1">
      <formula>LEN(TRIM(G221))=0</formula>
    </cfRule>
  </conditionalFormatting>
  <conditionalFormatting sqref="G221">
    <cfRule type="expression" dxfId="93" priority="82" stopIfTrue="1">
      <formula>P221&lt;V221</formula>
    </cfRule>
    <cfRule type="expression" dxfId="92" priority="83" stopIfTrue="1">
      <formula>P221&gt;V221</formula>
    </cfRule>
  </conditionalFormatting>
  <conditionalFormatting sqref="G224">
    <cfRule type="expression" dxfId="91" priority="79" stopIfTrue="1">
      <formula>P224&gt;V224</formula>
    </cfRule>
    <cfRule type="expression" dxfId="90" priority="80" stopIfTrue="1">
      <formula>P224&lt;V224</formula>
    </cfRule>
  </conditionalFormatting>
  <conditionalFormatting sqref="G225">
    <cfRule type="expression" dxfId="89" priority="77" stopIfTrue="1">
      <formula>P225&lt;V225</formula>
    </cfRule>
    <cfRule type="expression" dxfId="88" priority="78" stopIfTrue="1">
      <formula>P225&gt;V225</formula>
    </cfRule>
  </conditionalFormatting>
  <conditionalFormatting sqref="G226">
    <cfRule type="expression" dxfId="87" priority="75" stopIfTrue="1">
      <formula>P226&lt;V226</formula>
    </cfRule>
    <cfRule type="expression" dxfId="86" priority="76" stopIfTrue="1">
      <formula>P226&gt;V226</formula>
    </cfRule>
  </conditionalFormatting>
  <conditionalFormatting sqref="G223">
    <cfRule type="expression" dxfId="85" priority="73" stopIfTrue="1">
      <formula>P223&lt;V223</formula>
    </cfRule>
    <cfRule type="expression" dxfId="84" priority="74" stopIfTrue="1">
      <formula>P223&gt;V223</formula>
    </cfRule>
  </conditionalFormatting>
  <conditionalFormatting sqref="G227">
    <cfRule type="expression" dxfId="83" priority="71" stopIfTrue="1">
      <formula>P227&lt;V227</formula>
    </cfRule>
    <cfRule type="expression" dxfId="82" priority="72" stopIfTrue="1">
      <formula>P227&gt;V227</formula>
    </cfRule>
  </conditionalFormatting>
  <conditionalFormatting sqref="G230">
    <cfRule type="expression" dxfId="81" priority="69" stopIfTrue="1">
      <formula>P230&gt;V230</formula>
    </cfRule>
    <cfRule type="expression" dxfId="80" priority="70" stopIfTrue="1">
      <formula>P230&lt;V230</formula>
    </cfRule>
  </conditionalFormatting>
  <conditionalFormatting sqref="G232">
    <cfRule type="expression" dxfId="79" priority="67" stopIfTrue="1">
      <formula>P232&lt;V232</formula>
    </cfRule>
    <cfRule type="expression" dxfId="78" priority="68" stopIfTrue="1">
      <formula>P232&gt;V232</formula>
    </cfRule>
  </conditionalFormatting>
  <conditionalFormatting sqref="G231">
    <cfRule type="expression" dxfId="77" priority="65" stopIfTrue="1">
      <formula>P231&gt;V231</formula>
    </cfRule>
    <cfRule type="expression" dxfId="76" priority="66" stopIfTrue="1">
      <formula>P231&lt;V231</formula>
    </cfRule>
  </conditionalFormatting>
  <conditionalFormatting sqref="G229">
    <cfRule type="containsBlanks" priority="62" stopIfTrue="1">
      <formula>LEN(TRIM(G229))=0</formula>
    </cfRule>
  </conditionalFormatting>
  <conditionalFormatting sqref="G229">
    <cfRule type="expression" dxfId="75" priority="63" stopIfTrue="1">
      <formula>P229&lt;V229</formula>
    </cfRule>
    <cfRule type="expression" dxfId="74" priority="64" stopIfTrue="1">
      <formula>P229&gt;V229</formula>
    </cfRule>
  </conditionalFormatting>
  <conditionalFormatting sqref="G228">
    <cfRule type="expression" dxfId="73" priority="60" stopIfTrue="1">
      <formula>P228&gt;V228</formula>
    </cfRule>
    <cfRule type="expression" dxfId="72" priority="61" stopIfTrue="1">
      <formula>P228&lt;V228</formula>
    </cfRule>
  </conditionalFormatting>
  <conditionalFormatting sqref="G233">
    <cfRule type="expression" dxfId="71" priority="58" stopIfTrue="1">
      <formula>P233&gt;V233</formula>
    </cfRule>
    <cfRule type="expression" dxfId="70" priority="59" stopIfTrue="1">
      <formula>P233&lt;V233</formula>
    </cfRule>
  </conditionalFormatting>
  <conditionalFormatting sqref="G234">
    <cfRule type="expression" dxfId="69" priority="56" stopIfTrue="1">
      <formula>P234&lt;V234</formula>
    </cfRule>
    <cfRule type="expression" dxfId="68" priority="57" stopIfTrue="1">
      <formula>P234&gt;V234</formula>
    </cfRule>
  </conditionalFormatting>
  <conditionalFormatting sqref="G235">
    <cfRule type="expression" dxfId="67" priority="54" stopIfTrue="1">
      <formula>P235&lt;V235</formula>
    </cfRule>
    <cfRule type="expression" dxfId="66" priority="55" stopIfTrue="1">
      <formula>P235&gt;V235</formula>
    </cfRule>
  </conditionalFormatting>
  <conditionalFormatting sqref="G236">
    <cfRule type="expression" dxfId="65" priority="52" stopIfTrue="1">
      <formula>P236&lt;V236</formula>
    </cfRule>
    <cfRule type="expression" dxfId="64" priority="53" stopIfTrue="1">
      <formula>P236&gt;V236</formula>
    </cfRule>
  </conditionalFormatting>
  <conditionalFormatting sqref="G237">
    <cfRule type="containsBlanks" priority="49" stopIfTrue="1">
      <formula>LEN(TRIM(G237))=0</formula>
    </cfRule>
  </conditionalFormatting>
  <conditionalFormatting sqref="G237">
    <cfRule type="expression" dxfId="63" priority="50" stopIfTrue="1">
      <formula>P237&lt;V237</formula>
    </cfRule>
    <cfRule type="expression" dxfId="62" priority="51" stopIfTrue="1">
      <formula>P237&gt;V237</formula>
    </cfRule>
  </conditionalFormatting>
  <conditionalFormatting sqref="G237">
    <cfRule type="expression" dxfId="61" priority="47" stopIfTrue="1">
      <formula>P237&lt;V237</formula>
    </cfRule>
    <cfRule type="expression" dxfId="60" priority="48" stopIfTrue="1">
      <formula>P237&gt;V237</formula>
    </cfRule>
  </conditionalFormatting>
  <conditionalFormatting sqref="G238">
    <cfRule type="containsBlanks" priority="44" stopIfTrue="1">
      <formula>LEN(TRIM(G238))=0</formula>
    </cfRule>
  </conditionalFormatting>
  <conditionalFormatting sqref="G238">
    <cfRule type="expression" dxfId="59" priority="45" stopIfTrue="1">
      <formula>P238&lt;V238</formula>
    </cfRule>
    <cfRule type="expression" dxfId="58" priority="46" stopIfTrue="1">
      <formula>P238&gt;V238</formula>
    </cfRule>
  </conditionalFormatting>
  <conditionalFormatting sqref="G237">
    <cfRule type="expression" dxfId="57" priority="42" stopIfTrue="1">
      <formula>P237&lt;V237</formula>
    </cfRule>
    <cfRule type="expression" dxfId="56" priority="43" stopIfTrue="1">
      <formula>P237&gt;V237</formula>
    </cfRule>
  </conditionalFormatting>
  <conditionalFormatting sqref="G238">
    <cfRule type="expression" dxfId="55" priority="40" stopIfTrue="1">
      <formula>P238&lt;V238</formula>
    </cfRule>
    <cfRule type="expression" dxfId="54" priority="41" stopIfTrue="1">
      <formula>P238&gt;V238</formula>
    </cfRule>
  </conditionalFormatting>
  <conditionalFormatting sqref="G239">
    <cfRule type="expression" dxfId="53" priority="38" stopIfTrue="1">
      <formula>P239&lt;V239</formula>
    </cfRule>
    <cfRule type="expression" dxfId="52" priority="39" stopIfTrue="1">
      <formula>P239&gt;V239</formula>
    </cfRule>
  </conditionalFormatting>
  <conditionalFormatting sqref="F242">
    <cfRule type="containsBlanks" priority="32" stopIfTrue="1">
      <formula>LEN(TRIM(F242))=0</formula>
    </cfRule>
  </conditionalFormatting>
  <conditionalFormatting sqref="F244">
    <cfRule type="containsBlanks" priority="31" stopIfTrue="1">
      <formula>LEN(TRIM(F244))=0</formula>
    </cfRule>
  </conditionalFormatting>
  <conditionalFormatting sqref="F246">
    <cfRule type="containsBlanks" priority="30" stopIfTrue="1">
      <formula>LEN(TRIM(F246))=0</formula>
    </cfRule>
  </conditionalFormatting>
  <conditionalFormatting sqref="G241">
    <cfRule type="expression" dxfId="51" priority="21" stopIfTrue="1">
      <formula>P241&lt;V241</formula>
    </cfRule>
    <cfRule type="expression" dxfId="50" priority="29" stopIfTrue="1">
      <formula>P241&gt;V241</formula>
    </cfRule>
  </conditionalFormatting>
  <conditionalFormatting sqref="G242">
    <cfRule type="expression" dxfId="49" priority="22" stopIfTrue="1">
      <formula>P242&lt;V242</formula>
    </cfRule>
    <cfRule type="expression" dxfId="48" priority="25" stopIfTrue="1">
      <formula>P242&gt;V242</formula>
    </cfRule>
  </conditionalFormatting>
  <conditionalFormatting sqref="G243">
    <cfRule type="expression" dxfId="47" priority="23" stopIfTrue="1">
      <formula>P243&lt;V243</formula>
    </cfRule>
    <cfRule type="expression" dxfId="46" priority="24" stopIfTrue="1">
      <formula>P243&gt;V243</formula>
    </cfRule>
  </conditionalFormatting>
  <conditionalFormatting sqref="G240">
    <cfRule type="expression" dxfId="45" priority="20" stopIfTrue="1">
      <formula>P240&lt;V240</formula>
    </cfRule>
  </conditionalFormatting>
  <conditionalFormatting sqref="G244">
    <cfRule type="expression" dxfId="44" priority="18" stopIfTrue="1">
      <formula>P244&gt;V244</formula>
    </cfRule>
    <cfRule type="expression" dxfId="43" priority="19" stopIfTrue="1">
      <formula>P244&lt;V244</formula>
    </cfRule>
  </conditionalFormatting>
  <conditionalFormatting sqref="G245">
    <cfRule type="expression" dxfId="42" priority="16" stopIfTrue="1">
      <formula>P245&lt;V245</formula>
    </cfRule>
    <cfRule type="expression" dxfId="41" priority="17" stopIfTrue="1">
      <formula>P245&gt;V245</formula>
    </cfRule>
  </conditionalFormatting>
  <conditionalFormatting sqref="G246">
    <cfRule type="expression" dxfId="40" priority="14" stopIfTrue="1">
      <formula>P246&lt;V246</formula>
    </cfRule>
    <cfRule type="expression" dxfId="39" priority="15" stopIfTrue="1">
      <formula>P246&gt;V246</formula>
    </cfRule>
  </conditionalFormatting>
  <conditionalFormatting sqref="G247">
    <cfRule type="expression" dxfId="38" priority="12" stopIfTrue="1">
      <formula>P247&gt;V247</formula>
    </cfRule>
    <cfRule type="expression" dxfId="37" priority="13" stopIfTrue="1">
      <formula>P247&lt;V247</formula>
    </cfRule>
  </conditionalFormatting>
  <conditionalFormatting sqref="G248">
    <cfRule type="expression" dxfId="36" priority="1" stopIfTrue="1">
      <formula>P248&lt;V248</formula>
    </cfRule>
    <cfRule type="expression" dxfId="35" priority="2" stopIfTrue="1">
      <formula>P248&gt;V248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576</v>
      </c>
      <c r="B1" s="4" t="s">
        <v>575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alex@envisionengineering.com</dc:creator>
  <cp:lastModifiedBy>Alex Fare</cp:lastModifiedBy>
  <cp:lastPrinted>2022-12-02T13:32:51Z</cp:lastPrinted>
  <dcterms:created xsi:type="dcterms:W3CDTF">2000-05-08T13:10:20Z</dcterms:created>
  <dcterms:modified xsi:type="dcterms:W3CDTF">2022-12-05T11:46:24Z</dcterms:modified>
</cp:coreProperties>
</file>